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2.xml" ContentType="application/vnd.openxmlformats-officedocument.themeOverrid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1011"/>
  <workbookPr dateCompatibility="0" defaultThemeVersion="124226"/>
  <mc:AlternateContent xmlns:mc="http://schemas.openxmlformats.org/markup-compatibility/2006">
    <mc:Choice Requires="x15">
      <x15ac:absPath xmlns:x15ac="http://schemas.microsoft.com/office/spreadsheetml/2010/11/ac" url="/Users/jiawei/Documents/Work/2022- trace element/other records/d13C records/"/>
    </mc:Choice>
  </mc:AlternateContent>
  <xr:revisionPtr revIDLastSave="0" documentId="13_ncr:9_{54224477-C6D1-334E-A57A-0524376C03A6}" xr6:coauthVersionLast="47" xr6:coauthVersionMax="47" xr10:uidLastSave="{00000000-0000-0000-0000-000000000000}"/>
  <bookViews>
    <workbookView xWindow="0" yWindow="760" windowWidth="30240" windowHeight="17360" activeTab="2" xr2:uid="{00000000-000D-0000-FFFF-FFFF00000000}"/>
  </bookViews>
  <sheets>
    <sheet name="Sheet1 (2)" sheetId="2" r:id="rId1"/>
    <sheet name="Sheet1" sheetId="1" r:id="rId2"/>
    <sheet name="Sheet2" sheetId="5" r:id="rId3"/>
    <sheet name="蓝田" sheetId="3" r:id="rId4"/>
  </sheets>
  <externalReferences>
    <externalReference r:id="rId5"/>
    <externalReference r:id="rId6"/>
  </externalReferences>
  <calcPr calcId="191029" concurrentCalc="0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N7" i="2" l="1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6" i="2"/>
  <c r="F49" i="5"/>
  <c r="E49" i="5"/>
  <c r="F45" i="5"/>
  <c r="E45" i="5"/>
  <c r="F33" i="5"/>
  <c r="E33" i="5"/>
  <c r="F22" i="5"/>
  <c r="E22" i="5"/>
  <c r="F15" i="5"/>
  <c r="E15" i="5"/>
  <c r="F6" i="5"/>
  <c r="E6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2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102" i="5"/>
  <c r="B103" i="5"/>
  <c r="B104" i="5"/>
  <c r="B105" i="5"/>
  <c r="B106" i="5"/>
  <c r="B107" i="5"/>
  <c r="B108" i="5"/>
  <c r="B109" i="5"/>
  <c r="B110" i="5"/>
  <c r="B111" i="5"/>
  <c r="B112" i="5"/>
  <c r="B113" i="5"/>
  <c r="B114" i="5"/>
  <c r="B115" i="5"/>
  <c r="B116" i="5"/>
  <c r="B117" i="5"/>
  <c r="B118" i="5"/>
  <c r="B119" i="5"/>
  <c r="B120" i="5"/>
  <c r="B121" i="5"/>
  <c r="B122" i="5"/>
  <c r="B123" i="5"/>
  <c r="B124" i="5"/>
  <c r="B125" i="5"/>
  <c r="B126" i="5"/>
  <c r="B127" i="5"/>
  <c r="B128" i="5"/>
  <c r="B129" i="5"/>
  <c r="B130" i="5"/>
  <c r="B131" i="5"/>
  <c r="B132" i="5"/>
  <c r="B133" i="5"/>
  <c r="B134" i="5"/>
  <c r="B135" i="5"/>
  <c r="B136" i="5"/>
  <c r="B137" i="5"/>
  <c r="B138" i="5"/>
  <c r="B139" i="5"/>
  <c r="B140" i="5"/>
  <c r="B141" i="5"/>
  <c r="B142" i="5"/>
  <c r="B143" i="5"/>
  <c r="B144" i="5"/>
  <c r="B145" i="5"/>
  <c r="B146" i="5"/>
  <c r="B147" i="5"/>
  <c r="B148" i="5"/>
  <c r="B149" i="5"/>
  <c r="B150" i="5"/>
  <c r="B151" i="5"/>
  <c r="B152" i="5"/>
  <c r="B153" i="5"/>
  <c r="B154" i="5"/>
  <c r="B155" i="5"/>
  <c r="B156" i="5"/>
  <c r="B157" i="5"/>
  <c r="B158" i="5"/>
  <c r="B159" i="5"/>
  <c r="B160" i="5"/>
  <c r="B161" i="5"/>
  <c r="B162" i="5"/>
  <c r="B163" i="5"/>
  <c r="B164" i="5"/>
  <c r="B165" i="5"/>
  <c r="B166" i="5"/>
  <c r="B167" i="5"/>
  <c r="B168" i="5"/>
  <c r="B169" i="5"/>
  <c r="B170" i="5"/>
  <c r="B171" i="5"/>
  <c r="B172" i="5"/>
  <c r="B173" i="5"/>
  <c r="B174" i="5"/>
  <c r="B175" i="5"/>
  <c r="B176" i="5"/>
  <c r="B177" i="5"/>
  <c r="B178" i="5"/>
  <c r="B179" i="5"/>
  <c r="B180" i="5"/>
  <c r="B181" i="5"/>
  <c r="B2" i="5"/>
  <c r="E2" i="3"/>
  <c r="F2" i="3"/>
  <c r="I2" i="3"/>
  <c r="G2" i="3"/>
  <c r="E3" i="3"/>
  <c r="F3" i="3"/>
  <c r="I3" i="3"/>
  <c r="G3" i="3"/>
  <c r="H3" i="3"/>
  <c r="E4" i="3"/>
  <c r="F4" i="3"/>
  <c r="I4" i="3"/>
  <c r="G4" i="3"/>
  <c r="E5" i="3"/>
  <c r="F5" i="3"/>
  <c r="I5" i="3"/>
  <c r="G5" i="3"/>
  <c r="E6" i="3"/>
  <c r="F6" i="3"/>
  <c r="I6" i="3"/>
  <c r="G6" i="3"/>
  <c r="H6" i="3"/>
  <c r="J6" i="3"/>
  <c r="E7" i="3"/>
  <c r="F7" i="3"/>
  <c r="I7" i="3"/>
  <c r="G7" i="3"/>
  <c r="H7" i="3"/>
  <c r="J7" i="3"/>
  <c r="E8" i="3"/>
  <c r="F8" i="3"/>
  <c r="I8" i="3"/>
  <c r="G8" i="3"/>
  <c r="H8" i="3"/>
  <c r="E9" i="3"/>
  <c r="F9" i="3"/>
  <c r="I9" i="3"/>
  <c r="G9" i="3"/>
  <c r="E10" i="3"/>
  <c r="F10" i="3"/>
  <c r="I10" i="3"/>
  <c r="G10" i="3"/>
  <c r="H10" i="3"/>
  <c r="E11" i="3"/>
  <c r="F11" i="3"/>
  <c r="I11" i="3"/>
  <c r="G11" i="3"/>
  <c r="H11" i="3"/>
  <c r="J11" i="3"/>
  <c r="E12" i="3"/>
  <c r="F12" i="3"/>
  <c r="I12" i="3"/>
  <c r="H12" i="3"/>
  <c r="J12" i="3"/>
  <c r="G12" i="3"/>
  <c r="E13" i="3"/>
  <c r="F13" i="3"/>
  <c r="I13" i="3"/>
  <c r="G13" i="3"/>
  <c r="H13" i="3"/>
  <c r="J13" i="3"/>
  <c r="E14" i="3"/>
  <c r="F14" i="3"/>
  <c r="I14" i="3"/>
  <c r="G14" i="3"/>
  <c r="E15" i="3"/>
  <c r="F15" i="3"/>
  <c r="I15" i="3"/>
  <c r="G15" i="3"/>
  <c r="H15" i="3"/>
  <c r="E16" i="3"/>
  <c r="F16" i="3"/>
  <c r="I16" i="3"/>
  <c r="G16" i="3"/>
  <c r="E17" i="3"/>
  <c r="F17" i="3"/>
  <c r="I17" i="3"/>
  <c r="G17" i="3"/>
  <c r="E18" i="3"/>
  <c r="G18" i="3"/>
  <c r="E19" i="3"/>
  <c r="F19" i="3"/>
  <c r="I19" i="3"/>
  <c r="G19" i="3"/>
  <c r="H19" i="3"/>
  <c r="J19" i="3"/>
  <c r="E20" i="3"/>
  <c r="F20" i="3"/>
  <c r="I20" i="3"/>
  <c r="G20" i="3"/>
  <c r="E21" i="3"/>
  <c r="F21" i="3"/>
  <c r="I21" i="3"/>
  <c r="G21" i="3"/>
  <c r="H21" i="3"/>
  <c r="E22" i="3"/>
  <c r="F22" i="3"/>
  <c r="I22" i="3"/>
  <c r="G22" i="3"/>
  <c r="E23" i="3"/>
  <c r="F23" i="3"/>
  <c r="I23" i="3"/>
  <c r="G23" i="3"/>
  <c r="E24" i="3"/>
  <c r="F24" i="3"/>
  <c r="I24" i="3"/>
  <c r="G24" i="3"/>
  <c r="H24" i="3"/>
  <c r="E25" i="3"/>
  <c r="F25" i="3"/>
  <c r="I25" i="3"/>
  <c r="G25" i="3"/>
  <c r="E26" i="3"/>
  <c r="H26" i="3"/>
  <c r="F26" i="3"/>
  <c r="I26" i="3"/>
  <c r="G26" i="3"/>
  <c r="E27" i="3"/>
  <c r="G27" i="3"/>
  <c r="E28" i="3"/>
  <c r="F28" i="3"/>
  <c r="I28" i="3"/>
  <c r="G28" i="3"/>
  <c r="H28" i="3"/>
  <c r="J28" i="3"/>
  <c r="E29" i="3"/>
  <c r="F29" i="3"/>
  <c r="I29" i="3"/>
  <c r="G29" i="3"/>
  <c r="E30" i="3"/>
  <c r="F30" i="3"/>
  <c r="I30" i="3"/>
  <c r="G30" i="3"/>
  <c r="E31" i="3"/>
  <c r="F31" i="3"/>
  <c r="I31" i="3"/>
  <c r="G31" i="3"/>
  <c r="H31" i="3"/>
  <c r="E32" i="3"/>
  <c r="H32" i="3"/>
  <c r="F32" i="3"/>
  <c r="I32" i="3"/>
  <c r="G32" i="3"/>
  <c r="E33" i="3"/>
  <c r="F33" i="3"/>
  <c r="I33" i="3"/>
  <c r="G33" i="3"/>
  <c r="H33" i="3"/>
  <c r="J33" i="3"/>
  <c r="E34" i="3"/>
  <c r="F34" i="3"/>
  <c r="I34" i="3"/>
  <c r="G34" i="3"/>
  <c r="E35" i="3"/>
  <c r="F35" i="3"/>
  <c r="I35" i="3"/>
  <c r="G35" i="3"/>
  <c r="H35" i="3"/>
  <c r="J35" i="3"/>
  <c r="E36" i="3"/>
  <c r="F36" i="3"/>
  <c r="I36" i="3"/>
  <c r="G36" i="3"/>
  <c r="H36" i="3"/>
  <c r="E37" i="3"/>
  <c r="F37" i="3"/>
  <c r="I37" i="3"/>
  <c r="G37" i="3"/>
  <c r="E38" i="3"/>
  <c r="F38" i="3"/>
  <c r="I38" i="3"/>
  <c r="G38" i="3"/>
  <c r="E39" i="3"/>
  <c r="F39" i="3"/>
  <c r="I39" i="3"/>
  <c r="G39" i="3"/>
  <c r="H39" i="3"/>
  <c r="E40" i="3"/>
  <c r="F40" i="3"/>
  <c r="I40" i="3"/>
  <c r="G40" i="3"/>
  <c r="H40" i="3"/>
  <c r="J40" i="3"/>
  <c r="E41" i="3"/>
  <c r="F41" i="3"/>
  <c r="I41" i="3"/>
  <c r="G41" i="3"/>
  <c r="H41" i="3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H5" i="3"/>
  <c r="J26" i="3"/>
  <c r="J8" i="3"/>
  <c r="J10" i="3"/>
  <c r="J39" i="3"/>
  <c r="J24" i="3"/>
  <c r="H20" i="3"/>
  <c r="J20" i="3"/>
  <c r="H37" i="3"/>
  <c r="J37" i="3"/>
  <c r="H23" i="3"/>
  <c r="J23" i="3"/>
  <c r="H14" i="3"/>
  <c r="H2" i="3"/>
  <c r="J2" i="3"/>
  <c r="H29" i="3"/>
  <c r="J29" i="3"/>
  <c r="H22" i="3"/>
  <c r="J22" i="3"/>
  <c r="H16" i="3"/>
  <c r="J16" i="3"/>
  <c r="J21" i="3"/>
  <c r="H34" i="3"/>
  <c r="J34" i="3"/>
  <c r="J31" i="3"/>
  <c r="H25" i="3"/>
  <c r="H4" i="3"/>
  <c r="J4" i="3"/>
  <c r="J41" i="3"/>
  <c r="J15" i="3"/>
  <c r="H27" i="3"/>
  <c r="H18" i="3"/>
  <c r="H9" i="3"/>
  <c r="J9" i="3"/>
  <c r="J3" i="3"/>
  <c r="H30" i="3"/>
  <c r="J30" i="3"/>
  <c r="H17" i="3"/>
  <c r="J17" i="3"/>
  <c r="J36" i="3"/>
  <c r="J25" i="3"/>
  <c r="J32" i="3"/>
  <c r="J14" i="3"/>
  <c r="J5" i="3"/>
  <c r="F18" i="3"/>
  <c r="I18" i="3"/>
  <c r="J18" i="3"/>
  <c r="F27" i="3"/>
  <c r="I27" i="3"/>
  <c r="H38" i="3"/>
  <c r="J38" i="3"/>
  <c r="J27" i="3"/>
</calcChain>
</file>

<file path=xl/sharedStrings.xml><?xml version="1.0" encoding="utf-8"?>
<sst xmlns="http://purl.oclc.org/ooxml/spreadsheetml/main" count="217" uniqueCount="91">
  <si>
    <t>S0</t>
    <phoneticPr fontId="1" type="noConversion"/>
  </si>
  <si>
    <t>L1</t>
    <phoneticPr fontId="1" type="noConversion"/>
  </si>
  <si>
    <t>S1</t>
    <phoneticPr fontId="1" type="noConversion"/>
  </si>
  <si>
    <t>d13C-SC</t>
    <phoneticPr fontId="1" type="noConversion"/>
  </si>
  <si>
    <t>蓝田</t>
    <phoneticPr fontId="1" type="noConversion"/>
  </si>
  <si>
    <t>Age/Ma</t>
    <phoneticPr fontId="1" type="noConversion"/>
  </si>
  <si>
    <t>d13C-SOM</t>
    <phoneticPr fontId="1" type="noConversion"/>
  </si>
  <si>
    <t>An Z.S.-2005</t>
    <phoneticPr fontId="1" type="noConversion"/>
  </si>
  <si>
    <t>Geology</t>
    <phoneticPr fontId="1" type="noConversion"/>
  </si>
  <si>
    <t>灵台</t>
    <phoneticPr fontId="1" type="noConversion"/>
  </si>
  <si>
    <t>aver/10kyr</t>
    <phoneticPr fontId="2" type="noConversion"/>
  </si>
  <si>
    <t>Δ 13C</t>
    <phoneticPr fontId="3" type="noConversion"/>
  </si>
  <si>
    <t>层位</t>
    <phoneticPr fontId="3" type="noConversion"/>
  </si>
  <si>
    <t>S10</t>
    <phoneticPr fontId="3" type="noConversion"/>
  </si>
  <si>
    <t>S11</t>
    <phoneticPr fontId="3" type="noConversion"/>
  </si>
  <si>
    <t>S12</t>
    <phoneticPr fontId="3" type="noConversion"/>
  </si>
  <si>
    <t>S13</t>
    <phoneticPr fontId="3" type="noConversion"/>
  </si>
  <si>
    <t>S15</t>
    <phoneticPr fontId="3" type="noConversion"/>
  </si>
  <si>
    <t>S16</t>
    <phoneticPr fontId="3" type="noConversion"/>
  </si>
  <si>
    <t>S17</t>
    <phoneticPr fontId="3" type="noConversion"/>
  </si>
  <si>
    <t>S18</t>
    <phoneticPr fontId="3" type="noConversion"/>
  </si>
  <si>
    <t>S20</t>
    <phoneticPr fontId="3" type="noConversion"/>
  </si>
  <si>
    <t>S21</t>
    <phoneticPr fontId="3" type="noConversion"/>
  </si>
  <si>
    <t>S22</t>
    <phoneticPr fontId="3" type="noConversion"/>
  </si>
  <si>
    <t>S23</t>
    <phoneticPr fontId="3" type="noConversion"/>
  </si>
  <si>
    <t>S25</t>
    <phoneticPr fontId="3" type="noConversion"/>
  </si>
  <si>
    <t>S26</t>
    <phoneticPr fontId="3" type="noConversion"/>
  </si>
  <si>
    <t>S27</t>
    <phoneticPr fontId="3" type="noConversion"/>
  </si>
  <si>
    <t>S32</t>
    <phoneticPr fontId="3" type="noConversion"/>
  </si>
  <si>
    <t>S31</t>
    <phoneticPr fontId="3" type="noConversion"/>
  </si>
  <si>
    <r>
      <t>13Cs      21</t>
    </r>
    <r>
      <rPr>
        <sz val="9.75"/>
        <rFont val="宋体"/>
        <charset val="134"/>
      </rPr>
      <t>℃</t>
    </r>
    <phoneticPr fontId="1" type="noConversion"/>
  </si>
  <si>
    <t>pCO2/Sz</t>
    <phoneticPr fontId="1" type="noConversion"/>
  </si>
  <si>
    <t>Sz</t>
    <phoneticPr fontId="1" type="noConversion"/>
  </si>
  <si>
    <t>Age/ky</t>
    <phoneticPr fontId="1" type="noConversion"/>
  </si>
  <si>
    <t>S0</t>
    <phoneticPr fontId="7" type="noConversion"/>
  </si>
  <si>
    <t>S1</t>
  </si>
  <si>
    <t>S1</t>
    <phoneticPr fontId="7" type="noConversion"/>
  </si>
  <si>
    <t>S2</t>
  </si>
  <si>
    <t>S2</t>
    <phoneticPr fontId="7" type="noConversion"/>
  </si>
  <si>
    <t>S2</t>
    <phoneticPr fontId="7" type="noConversion"/>
  </si>
  <si>
    <t>S3</t>
  </si>
  <si>
    <t>S3</t>
    <phoneticPr fontId="7" type="noConversion"/>
  </si>
  <si>
    <t>S5</t>
  </si>
  <si>
    <t>S5</t>
    <phoneticPr fontId="7" type="noConversion"/>
  </si>
  <si>
    <t>S4</t>
    <phoneticPr fontId="7" type="noConversion"/>
  </si>
  <si>
    <t>S6</t>
    <phoneticPr fontId="7" type="noConversion"/>
  </si>
  <si>
    <t>S7</t>
    <phoneticPr fontId="7" type="noConversion"/>
  </si>
  <si>
    <t>S1</t>
    <phoneticPr fontId="7" type="noConversion"/>
  </si>
  <si>
    <t>S3</t>
    <phoneticPr fontId="7" type="noConversion"/>
  </si>
  <si>
    <t>S3</t>
    <phoneticPr fontId="7" type="noConversion"/>
  </si>
  <si>
    <t>S8</t>
  </si>
  <si>
    <t>S8</t>
    <phoneticPr fontId="7" type="noConversion"/>
  </si>
  <si>
    <t>S9</t>
  </si>
  <si>
    <t>S9</t>
    <phoneticPr fontId="7" type="noConversion"/>
  </si>
  <si>
    <t>S10</t>
  </si>
  <si>
    <t>S10</t>
    <phoneticPr fontId="7" type="noConversion"/>
  </si>
  <si>
    <t>S11</t>
  </si>
  <si>
    <t>S10</t>
    <phoneticPr fontId="7" type="noConversion"/>
  </si>
  <si>
    <t>S11</t>
    <phoneticPr fontId="7" type="noConversion"/>
  </si>
  <si>
    <t>S11</t>
    <phoneticPr fontId="7" type="noConversion"/>
  </si>
  <si>
    <t>S12</t>
    <phoneticPr fontId="7" type="noConversion"/>
  </si>
  <si>
    <t>S13</t>
    <phoneticPr fontId="7" type="noConversion"/>
  </si>
  <si>
    <t>S13</t>
    <phoneticPr fontId="7" type="noConversion"/>
  </si>
  <si>
    <t>S13</t>
    <phoneticPr fontId="7" type="noConversion"/>
  </si>
  <si>
    <t>S13</t>
    <phoneticPr fontId="7" type="noConversion"/>
  </si>
  <si>
    <t>S14</t>
    <phoneticPr fontId="7" type="noConversion"/>
  </si>
  <si>
    <t>S14</t>
    <phoneticPr fontId="7" type="noConversion"/>
  </si>
  <si>
    <t>S14</t>
    <phoneticPr fontId="7" type="noConversion"/>
  </si>
  <si>
    <t>S15</t>
    <phoneticPr fontId="7" type="noConversion"/>
  </si>
  <si>
    <t>S17</t>
    <phoneticPr fontId="7" type="noConversion"/>
  </si>
  <si>
    <t>S18</t>
    <phoneticPr fontId="7" type="noConversion"/>
  </si>
  <si>
    <t>S19</t>
    <phoneticPr fontId="7" type="noConversion"/>
  </si>
  <si>
    <t>S20</t>
    <phoneticPr fontId="7" type="noConversion"/>
  </si>
  <si>
    <t>S20</t>
    <phoneticPr fontId="7" type="noConversion"/>
  </si>
  <si>
    <t>S21</t>
    <phoneticPr fontId="7" type="noConversion"/>
  </si>
  <si>
    <t>S22</t>
  </si>
  <si>
    <t>S22</t>
    <phoneticPr fontId="7" type="noConversion"/>
  </si>
  <si>
    <t>S23</t>
    <phoneticPr fontId="7" type="noConversion"/>
  </si>
  <si>
    <t>S24</t>
    <phoneticPr fontId="7" type="noConversion"/>
  </si>
  <si>
    <t>S25</t>
    <phoneticPr fontId="7" type="noConversion"/>
  </si>
  <si>
    <t>S26</t>
    <phoneticPr fontId="7" type="noConversion"/>
  </si>
  <si>
    <t>S26</t>
    <phoneticPr fontId="7" type="noConversion"/>
  </si>
  <si>
    <t>S26</t>
    <phoneticPr fontId="7" type="noConversion"/>
  </si>
  <si>
    <t>S28</t>
    <phoneticPr fontId="7" type="noConversion"/>
  </si>
  <si>
    <t>S29</t>
    <phoneticPr fontId="7" type="noConversion"/>
  </si>
  <si>
    <t>S29</t>
    <phoneticPr fontId="7" type="noConversion"/>
  </si>
  <si>
    <t>S30</t>
    <phoneticPr fontId="7" type="noConversion"/>
  </si>
  <si>
    <t>S31</t>
    <phoneticPr fontId="7" type="noConversion"/>
  </si>
  <si>
    <t>S31</t>
    <phoneticPr fontId="7" type="noConversion"/>
  </si>
  <si>
    <t>S32</t>
    <phoneticPr fontId="7" type="noConversion"/>
  </si>
  <si>
    <t>S32</t>
    <phoneticPr fontId="7" type="noConversion"/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</si>
</sst>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_ "/>
    <numFmt numFmtId="165" formatCode="0.000_);[Red]\(0.000\)"/>
    <numFmt numFmtId="166" formatCode="0.0_ "/>
    <numFmt numFmtId="167" formatCode="0.000_ "/>
    <numFmt numFmtId="168" formatCode="0_ "/>
    <numFmt numFmtId="169" formatCode="0_);[Red]\(0\)"/>
  </numFmts>
  <fonts count="11">
    <font>
      <sz val="11"/>
      <color theme="1"/>
      <name val="Calibri"/>
      <charset val="134"/>
      <scheme val="minor"/>
    </font>
    <font>
      <sz val="9"/>
      <name val="宋体"/>
      <charset val="134"/>
    </font>
    <font>
      <sz val="9"/>
      <name val="宋体"/>
      <charset val="134"/>
    </font>
    <font>
      <sz val="9"/>
      <name val="宋体"/>
      <charset val="134"/>
    </font>
    <font>
      <sz val="9.75"/>
      <name val="Arial"/>
      <family val="2"/>
    </font>
    <font>
      <sz val="9.75"/>
      <name val="宋体"/>
      <charset val="134"/>
    </font>
    <font>
      <sz val="11"/>
      <name val="Times New Roman"/>
      <family val="1"/>
    </font>
    <font>
      <sz val="9"/>
      <name val="宋体"/>
      <charset val="134"/>
    </font>
    <font>
      <sz val="12"/>
      <color theme="1"/>
      <name val="Calibri"/>
      <charset val="134"/>
      <scheme val="minor"/>
    </font>
    <font>
      <sz val="11"/>
      <color theme="1"/>
      <name val="Times New Roman"/>
      <family val="1"/>
    </font>
    <font>
      <sz val="11"/>
      <color theme="1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start/>
      <end/>
      <top/>
      <bottom/>
      <diagonal/>
    </border>
  </borders>
  <cellStyleXfs count="2">
    <xf numFmtId="0" fontId="0" fillId="0" borderId="0">
      <alignment vertical="center"/>
    </xf>
    <xf numFmtId="0" fontId="8" fillId="0" borderId="0">
      <alignment vertical="center"/>
    </xf>
  </cellStyleXfs>
  <cellXfs count="20">
    <xf numFmtId="0" fontId="0" fillId="0" borderId="0" xfId="0">
      <alignment vertical="center"/>
    </xf>
    <xf numFmtId="0" fontId="9" fillId="0" borderId="0" xfId="0" applyFont="1">
      <alignment vertical="center"/>
    </xf>
    <xf numFmtId="164" fontId="9" fillId="0" borderId="0" xfId="0" applyNumberFormat="1" applyFont="1">
      <alignment vertical="center"/>
    </xf>
    <xf numFmtId="164" fontId="10" fillId="0" borderId="0" xfId="0" applyNumberFormat="1" applyFont="1">
      <alignment vertical="center"/>
    </xf>
    <xf numFmtId="165" fontId="9" fillId="0" borderId="0" xfId="0" applyNumberFormat="1" applyFont="1">
      <alignment vertical="center"/>
    </xf>
    <xf numFmtId="165" fontId="10" fillId="0" borderId="0" xfId="0" applyNumberFormat="1" applyFont="1">
      <alignment vertical="center"/>
    </xf>
    <xf numFmtId="0" fontId="9" fillId="0" borderId="0" xfId="0" applyNumberFormat="1" applyFont="1">
      <alignment vertical="center"/>
    </xf>
    <xf numFmtId="0" fontId="10" fillId="0" borderId="0" xfId="0" applyNumberFormat="1" applyFont="1">
      <alignment vertical="center"/>
    </xf>
    <xf numFmtId="167" fontId="9" fillId="0" borderId="0" xfId="0" applyNumberFormat="1" applyFont="1">
      <alignment vertical="center"/>
    </xf>
    <xf numFmtId="164" fontId="9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164" fontId="9" fillId="2" borderId="0" xfId="0" applyNumberFormat="1" applyFont="1" applyFill="1">
      <alignment vertical="center"/>
    </xf>
    <xf numFmtId="0" fontId="4" fillId="0" borderId="0" xfId="0" applyFont="1" applyAlignment="1">
      <alignment horizontal="center" vertical="center" wrapText="1"/>
    </xf>
    <xf numFmtId="168" fontId="4" fillId="0" borderId="0" xfId="0" applyNumberFormat="1" applyFont="1" applyAlignment="1">
      <alignment horizontal="center" vertical="center" wrapText="1"/>
    </xf>
    <xf numFmtId="166" fontId="6" fillId="0" borderId="0" xfId="1" applyNumberFormat="1" applyFont="1" applyFill="1" applyAlignment="1">
      <alignment horizontal="center" vertical="center"/>
    </xf>
    <xf numFmtId="164" fontId="6" fillId="0" borderId="0" xfId="1" applyNumberFormat="1" applyFont="1" applyFill="1">
      <alignment vertical="center"/>
    </xf>
    <xf numFmtId="168" fontId="4" fillId="0" borderId="0" xfId="0" applyNumberFormat="1" applyFont="1" applyAlignment="1"/>
    <xf numFmtId="169" fontId="9" fillId="0" borderId="0" xfId="0" applyNumberFormat="1" applyFont="1">
      <alignment vertical="center"/>
    </xf>
    <xf numFmtId="164" fontId="0" fillId="0" borderId="0" xfId="0" applyNumberFormat="1">
      <alignment vertical="center"/>
    </xf>
  </cellXfs>
  <cellStyles count="2">
    <cellStyle name="Normal" xfId="0" builtinId="0"/>
    <cellStyle name="常规 2" xfId="1" xr:uid="{00000000-0005-0000-0000-000001000000}"/>
  </cellStyles>
  <dxfs count="1">
    <dxf>
      <fill>
        <patternFill patternType="solid">
          <fgColor rgb="FFD8D8D8"/>
          <bgColor rgb="FF00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styles" Target="styles.xml"/><Relationship Id="rId3" Type="http://purl.oclc.org/ooxml/officeDocument/relationships/worksheet" Target="worksheets/sheet3.xml"/><Relationship Id="rId7" Type="http://purl.oclc.org/ooxml/officeDocument/relationships/theme" Target="theme/theme1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externalLink" Target="externalLinks/externalLink2.xml"/><Relationship Id="rId5" Type="http://purl.oclc.org/ooxml/officeDocument/relationships/externalLink" Target="externalLinks/externalLink1.xml"/><Relationship Id="rId10" Type="http://purl.oclc.org/ooxml/officeDocument/relationships/calcChain" Target="calcChain.xml"/><Relationship Id="rId4" Type="http://purl.oclc.org/ooxml/officeDocument/relationships/worksheet" Target="worksheets/sheet4.xml"/><Relationship Id="rId9" Type="http://purl.oclc.org/ooxml/officeDocument/relationships/sharedStrings" Target="sharedStrings.xml"/></Relationships>
</file>

<file path=xl/charts/_rels/chart3.xml.rels><?xml version="1.0" encoding="UTF-8" standalone="yes"?>
<Relationships xmlns="http://schemas.openxmlformats.org/package/2006/relationships"><Relationship Id="rId3" Type="http://purl.oclc.org/ooxml/officeDocument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3" Type="http://purl.oclc.org/ooxml/officeDocument/relationships/themeOverride" Target="../theme/themeOverride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3506999125109366E-2"/>
          <c:y val="2.9888801957344703E-2"/>
          <c:w val="0.87205555555555558"/>
          <c:h val="0.94610893704004428"/>
        </c:manualLayout>
      </c:layout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'Sheet1 (2)'!$B$6:$B$185</c:f>
              <c:numCache>
                <c:formatCode>0.00_ </c:formatCode>
                <c:ptCount val="180"/>
                <c:pt idx="0">
                  <c:v>-7.6874900000000004</c:v>
                </c:pt>
                <c:pt idx="1">
                  <c:v>-7.0468400000000004</c:v>
                </c:pt>
                <c:pt idx="2">
                  <c:v>-6.9528800000000004</c:v>
                </c:pt>
                <c:pt idx="3">
                  <c:v>-7.79657</c:v>
                </c:pt>
                <c:pt idx="4">
                  <c:v>-6.2963800000000001</c:v>
                </c:pt>
                <c:pt idx="5">
                  <c:v>-7.2961099999999997</c:v>
                </c:pt>
                <c:pt idx="6">
                  <c:v>-8.2491199999999996</c:v>
                </c:pt>
                <c:pt idx="7">
                  <c:v>-7.4208400000000001</c:v>
                </c:pt>
                <c:pt idx="8">
                  <c:v>-4.6551499999999999</c:v>
                </c:pt>
                <c:pt idx="9">
                  <c:v>-4.0144599999999997</c:v>
                </c:pt>
                <c:pt idx="10">
                  <c:v>-6.9518800000000001</c:v>
                </c:pt>
                <c:pt idx="11">
                  <c:v>-5.5143700000000004</c:v>
                </c:pt>
                <c:pt idx="12">
                  <c:v>-4.9986600000000001</c:v>
                </c:pt>
                <c:pt idx="13">
                  <c:v>-6.9046900000000004</c:v>
                </c:pt>
                <c:pt idx="14">
                  <c:v>-8.5451599999999992</c:v>
                </c:pt>
                <c:pt idx="15">
                  <c:v>-5.3105500000000001</c:v>
                </c:pt>
                <c:pt idx="16">
                  <c:v>-7.5449000000000002</c:v>
                </c:pt>
                <c:pt idx="17">
                  <c:v>-8.1541700000000006</c:v>
                </c:pt>
                <c:pt idx="18">
                  <c:v>-4.51342</c:v>
                </c:pt>
                <c:pt idx="19">
                  <c:v>-6.3258900000000002</c:v>
                </c:pt>
                <c:pt idx="20">
                  <c:v>-7.4039400000000004</c:v>
                </c:pt>
                <c:pt idx="21">
                  <c:v>-3.99769</c:v>
                </c:pt>
                <c:pt idx="22">
                  <c:v>-5.4350500000000004</c:v>
                </c:pt>
                <c:pt idx="23">
                  <c:v>-7.2005800000000004</c:v>
                </c:pt>
                <c:pt idx="24">
                  <c:v>-4.2629000000000001</c:v>
                </c:pt>
                <c:pt idx="25">
                  <c:v>-3.5440200000000002</c:v>
                </c:pt>
                <c:pt idx="26">
                  <c:v>-4.5439400000000001</c:v>
                </c:pt>
                <c:pt idx="27">
                  <c:v>-4.2311199999999998</c:v>
                </c:pt>
                <c:pt idx="28">
                  <c:v>-8.7153200000000002</c:v>
                </c:pt>
                <c:pt idx="29">
                  <c:v>-4.7934200000000002</c:v>
                </c:pt>
                <c:pt idx="30">
                  <c:v>-7.5902500000000002</c:v>
                </c:pt>
                <c:pt idx="31">
                  <c:v>-5.9025299999999996</c:v>
                </c:pt>
                <c:pt idx="32">
                  <c:v>-7.4805200000000003</c:v>
                </c:pt>
                <c:pt idx="33">
                  <c:v>-4.9960599999999999</c:v>
                </c:pt>
                <c:pt idx="34">
                  <c:v>-8.1522299999999994</c:v>
                </c:pt>
                <c:pt idx="35">
                  <c:v>-6.4489700000000001</c:v>
                </c:pt>
                <c:pt idx="36">
                  <c:v>-7.5114099999999997</c:v>
                </c:pt>
                <c:pt idx="37">
                  <c:v>-7.3549100000000003</c:v>
                </c:pt>
                <c:pt idx="38">
                  <c:v>-8.8704800000000006</c:v>
                </c:pt>
                <c:pt idx="39">
                  <c:v>-8.0577699999999997</c:v>
                </c:pt>
                <c:pt idx="40">
                  <c:v>-7.3077199999999998</c:v>
                </c:pt>
                <c:pt idx="41">
                  <c:v>-8.9482499999999998</c:v>
                </c:pt>
                <c:pt idx="42">
                  <c:v>-6.5105300000000002</c:v>
                </c:pt>
                <c:pt idx="43">
                  <c:v>-8.1041799999999995</c:v>
                </c:pt>
                <c:pt idx="44">
                  <c:v>-6.3070899999999996</c:v>
                </c:pt>
                <c:pt idx="45">
                  <c:v>-8.3068899999999992</c:v>
                </c:pt>
                <c:pt idx="46">
                  <c:v>-7.4473200000000004</c:v>
                </c:pt>
                <c:pt idx="47">
                  <c:v>-7.5720700000000001</c:v>
                </c:pt>
                <c:pt idx="48">
                  <c:v>-8.6658100000000005</c:v>
                </c:pt>
                <c:pt idx="49">
                  <c:v>-8.4780800000000003</c:v>
                </c:pt>
                <c:pt idx="50">
                  <c:v>-9.0716000000000001</c:v>
                </c:pt>
                <c:pt idx="51">
                  <c:v>-9.6337299999999999</c:v>
                </c:pt>
                <c:pt idx="52">
                  <c:v>-8.8210599999999992</c:v>
                </c:pt>
                <c:pt idx="53">
                  <c:v>-7.47722</c:v>
                </c:pt>
                <c:pt idx="54">
                  <c:v>-8.4770599999999998</c:v>
                </c:pt>
                <c:pt idx="55">
                  <c:v>-7.4458000000000002</c:v>
                </c:pt>
                <c:pt idx="56">
                  <c:v>-7.99247</c:v>
                </c:pt>
                <c:pt idx="57">
                  <c:v>-8.3048000000000002</c:v>
                </c:pt>
                <c:pt idx="58">
                  <c:v>-9.1328300000000002</c:v>
                </c:pt>
                <c:pt idx="59">
                  <c:v>-5.6483499999999998</c:v>
                </c:pt>
                <c:pt idx="60">
                  <c:v>-8.3045500000000008</c:v>
                </c:pt>
                <c:pt idx="61">
                  <c:v>-8.7106600000000007</c:v>
                </c:pt>
                <c:pt idx="62">
                  <c:v>-7.56996</c:v>
                </c:pt>
                <c:pt idx="63">
                  <c:v>-6.6478700000000002</c:v>
                </c:pt>
                <c:pt idx="64">
                  <c:v>-7.7728400000000004</c:v>
                </c:pt>
                <c:pt idx="65">
                  <c:v>-8.6945300000000003</c:v>
                </c:pt>
                <c:pt idx="66">
                  <c:v>-6.7725799999999996</c:v>
                </c:pt>
                <c:pt idx="67">
                  <c:v>-7.2880599999999998</c:v>
                </c:pt>
                <c:pt idx="68">
                  <c:v>-8.4910499999999995</c:v>
                </c:pt>
                <c:pt idx="69">
                  <c:v>-7.75657</c:v>
                </c:pt>
                <c:pt idx="70">
                  <c:v>-8.2408800000000006</c:v>
                </c:pt>
                <c:pt idx="71">
                  <c:v>-8.3970099999999999</c:v>
                </c:pt>
                <c:pt idx="72">
                  <c:v>-6.0375699999999997</c:v>
                </c:pt>
                <c:pt idx="73">
                  <c:v>-7.7718600000000002</c:v>
                </c:pt>
                <c:pt idx="74">
                  <c:v>-8.1935900000000004</c:v>
                </c:pt>
                <c:pt idx="75">
                  <c:v>-6.5841000000000003</c:v>
                </c:pt>
                <c:pt idx="76">
                  <c:v>-5.52142</c:v>
                </c:pt>
                <c:pt idx="77">
                  <c:v>-6.7401</c:v>
                </c:pt>
                <c:pt idx="78">
                  <c:v>-9.3337400000000006</c:v>
                </c:pt>
                <c:pt idx="79">
                  <c:v>-6.9273499999999997</c:v>
                </c:pt>
                <c:pt idx="80">
                  <c:v>-6.4115500000000001</c:v>
                </c:pt>
                <c:pt idx="81">
                  <c:v>-7.8801399999999999</c:v>
                </c:pt>
                <c:pt idx="82">
                  <c:v>-6.7706600000000003</c:v>
                </c:pt>
                <c:pt idx="83">
                  <c:v>-8.1298999999999992</c:v>
                </c:pt>
                <c:pt idx="84">
                  <c:v>-7.0827999999999998</c:v>
                </c:pt>
                <c:pt idx="85">
                  <c:v>-8.4733599999999996</c:v>
                </c:pt>
                <c:pt idx="86">
                  <c:v>-7.7543899999999999</c:v>
                </c:pt>
                <c:pt idx="87">
                  <c:v>-8.53538</c:v>
                </c:pt>
                <c:pt idx="88">
                  <c:v>-8.4102700000000006</c:v>
                </c:pt>
                <c:pt idx="89">
                  <c:v>-8.6913999999999998</c:v>
                </c:pt>
                <c:pt idx="90">
                  <c:v>-7.4568199999999996</c:v>
                </c:pt>
                <c:pt idx="91">
                  <c:v>-7.5973300000000004</c:v>
                </c:pt>
                <c:pt idx="92">
                  <c:v>-7.5190099999999997</c:v>
                </c:pt>
                <c:pt idx="93">
                  <c:v>-8.5968900000000001</c:v>
                </c:pt>
                <c:pt idx="94">
                  <c:v>-7.7060700000000004</c:v>
                </c:pt>
                <c:pt idx="95">
                  <c:v>-8.0966199999999997</c:v>
                </c:pt>
                <c:pt idx="96">
                  <c:v>-7.0651099999999998</c:v>
                </c:pt>
                <c:pt idx="97">
                  <c:v>-7.0804600000000004</c:v>
                </c:pt>
                <c:pt idx="98">
                  <c:v>-7.2832999999999997</c:v>
                </c:pt>
                <c:pt idx="99">
                  <c:v>-7.1269400000000003</c:v>
                </c:pt>
                <c:pt idx="100">
                  <c:v>-7.3922999999999996</c:v>
                </c:pt>
                <c:pt idx="101">
                  <c:v>-8.5172000000000008</c:v>
                </c:pt>
                <c:pt idx="102">
                  <c:v>-7.9388800000000002</c:v>
                </c:pt>
                <c:pt idx="103">
                  <c:v>-9.5321599999999993</c:v>
                </c:pt>
                <c:pt idx="104">
                  <c:v>-7.6882299999999999</c:v>
                </c:pt>
                <c:pt idx="105">
                  <c:v>-7.2973100000000004</c:v>
                </c:pt>
                <c:pt idx="106">
                  <c:v>-7.0157299999999996</c:v>
                </c:pt>
                <c:pt idx="107">
                  <c:v>-8.0621100000000006</c:v>
                </c:pt>
                <c:pt idx="108">
                  <c:v>-7.0306199999999999</c:v>
                </c:pt>
                <c:pt idx="109">
                  <c:v>-7.9832700000000001</c:v>
                </c:pt>
                <c:pt idx="110">
                  <c:v>-7.2798100000000003</c:v>
                </c:pt>
                <c:pt idx="111">
                  <c:v>-7.70139</c:v>
                </c:pt>
                <c:pt idx="112">
                  <c:v>-7.5293900000000002</c:v>
                </c:pt>
                <c:pt idx="113">
                  <c:v>-8.0606000000000009</c:v>
                </c:pt>
                <c:pt idx="114">
                  <c:v>-6.87303</c:v>
                </c:pt>
                <c:pt idx="115">
                  <c:v>-7.4821999999999997</c:v>
                </c:pt>
                <c:pt idx="116">
                  <c:v>-5.9664400000000004</c:v>
                </c:pt>
                <c:pt idx="117">
                  <c:v>-6.7319899999999997</c:v>
                </c:pt>
                <c:pt idx="118">
                  <c:v>-5.5756500000000004</c:v>
                </c:pt>
                <c:pt idx="119">
                  <c:v>-8.1224299999999996</c:v>
                </c:pt>
                <c:pt idx="120">
                  <c:v>-7.4660700000000002</c:v>
                </c:pt>
                <c:pt idx="121">
                  <c:v>-8.04406</c:v>
                </c:pt>
                <c:pt idx="122">
                  <c:v>-7.2626600000000003</c:v>
                </c:pt>
                <c:pt idx="123">
                  <c:v>-7.4187000000000003</c:v>
                </c:pt>
                <c:pt idx="124">
                  <c:v>-7.0746700000000002</c:v>
                </c:pt>
                <c:pt idx="125">
                  <c:v>-7.2620100000000001</c:v>
                </c:pt>
                <c:pt idx="126">
                  <c:v>-6.8554599999999999</c:v>
                </c:pt>
                <c:pt idx="127">
                  <c:v>-6.9021699999999999</c:v>
                </c:pt>
                <c:pt idx="128">
                  <c:v>-6.7457099999999999</c:v>
                </c:pt>
                <c:pt idx="129">
                  <c:v>-7.6673999999999998</c:v>
                </c:pt>
                <c:pt idx="130">
                  <c:v>-6.5110200000000003</c:v>
                </c:pt>
                <c:pt idx="131">
                  <c:v>-6.6670199999999999</c:v>
                </c:pt>
                <c:pt idx="132">
                  <c:v>-6.40123</c:v>
                </c:pt>
                <c:pt idx="133">
                  <c:v>-6.4009999999999998</c:v>
                </c:pt>
                <c:pt idx="134">
                  <c:v>-7.0102900000000004</c:v>
                </c:pt>
                <c:pt idx="135">
                  <c:v>-6.2914300000000001</c:v>
                </c:pt>
                <c:pt idx="136">
                  <c:v>-4.3068499999999998</c:v>
                </c:pt>
                <c:pt idx="137">
                  <c:v>-5.6817200000000003</c:v>
                </c:pt>
                <c:pt idx="138">
                  <c:v>-6.71272</c:v>
                </c:pt>
                <c:pt idx="139">
                  <c:v>-4.6031300000000002</c:v>
                </c:pt>
                <c:pt idx="140">
                  <c:v>-4.7123799999999996</c:v>
                </c:pt>
                <c:pt idx="141">
                  <c:v>-6.1497999999999999</c:v>
                </c:pt>
                <c:pt idx="142">
                  <c:v>-5.8059200000000004</c:v>
                </c:pt>
                <c:pt idx="143">
                  <c:v>-6.9308300000000003</c:v>
                </c:pt>
                <c:pt idx="144">
                  <c:v>-7.0869999999999997</c:v>
                </c:pt>
                <c:pt idx="145">
                  <c:v>-5.1179399999999999</c:v>
                </c:pt>
                <c:pt idx="146">
                  <c:v>-6.9770099999999999</c:v>
                </c:pt>
                <c:pt idx="147">
                  <c:v>-6.8986999999999998</c:v>
                </c:pt>
                <c:pt idx="148">
                  <c:v>-7.4298700000000002</c:v>
                </c:pt>
                <c:pt idx="149">
                  <c:v>-7.36714</c:v>
                </c:pt>
                <c:pt idx="150">
                  <c:v>-6.9296199999999999</c:v>
                </c:pt>
                <c:pt idx="151">
                  <c:v>-6.9295299999999997</c:v>
                </c:pt>
                <c:pt idx="152">
                  <c:v>-6.8512599999999999</c:v>
                </c:pt>
                <c:pt idx="153">
                  <c:v>-8.0698699999999999</c:v>
                </c:pt>
                <c:pt idx="154">
                  <c:v>-7.3036099999999999</c:v>
                </c:pt>
                <c:pt idx="155">
                  <c:v>-7.4129100000000001</c:v>
                </c:pt>
                <c:pt idx="156">
                  <c:v>-7.89703</c:v>
                </c:pt>
                <c:pt idx="157">
                  <c:v>-7.8810700000000002</c:v>
                </c:pt>
                <c:pt idx="158">
                  <c:v>-8.4744899999999994</c:v>
                </c:pt>
                <c:pt idx="159">
                  <c:v>-8.1930499999999995</c:v>
                </c:pt>
                <c:pt idx="160">
                  <c:v>-8.3175699999999999</c:v>
                </c:pt>
                <c:pt idx="161">
                  <c:v>-8.1764100000000006</c:v>
                </c:pt>
                <c:pt idx="162">
                  <c:v>-8.73855</c:v>
                </c:pt>
                <c:pt idx="163">
                  <c:v>-8.1288</c:v>
                </c:pt>
                <c:pt idx="164">
                  <c:v>-8.2693399999999997</c:v>
                </c:pt>
                <c:pt idx="165">
                  <c:v>-8.4099000000000004</c:v>
                </c:pt>
                <c:pt idx="166">
                  <c:v>-8.3940900000000003</c:v>
                </c:pt>
                <c:pt idx="167">
                  <c:v>-8.31569</c:v>
                </c:pt>
                <c:pt idx="168">
                  <c:v>-8.5187399999999993</c:v>
                </c:pt>
                <c:pt idx="169">
                  <c:v>-8.7215299999999996</c:v>
                </c:pt>
                <c:pt idx="170">
                  <c:v>-8.8308400000000002</c:v>
                </c:pt>
                <c:pt idx="171">
                  <c:v>-9.0182400000000005</c:v>
                </c:pt>
                <c:pt idx="172">
                  <c:v>-9.2524099999999994</c:v>
                </c:pt>
                <c:pt idx="173">
                  <c:v>-9.1428999999999991</c:v>
                </c:pt>
                <c:pt idx="174">
                  <c:v>-9.0178200000000004</c:v>
                </c:pt>
                <c:pt idx="175">
                  <c:v>-8.8768399999999996</c:v>
                </c:pt>
                <c:pt idx="176">
                  <c:v>-8.9547600000000003</c:v>
                </c:pt>
                <c:pt idx="177">
                  <c:v>-8.7045700000000004</c:v>
                </c:pt>
                <c:pt idx="178">
                  <c:v>-8.6106499999999997</c:v>
                </c:pt>
                <c:pt idx="179">
                  <c:v>-8.7823100000000007</c:v>
                </c:pt>
              </c:numCache>
            </c:numRef>
          </c:xVal>
          <c:yVal>
            <c:numRef>
              <c:f>'Sheet1 (2)'!$C$6:$C$185</c:f>
              <c:numCache>
                <c:formatCode>0.000_);[Red]\(0.000\)</c:formatCode>
                <c:ptCount val="180"/>
                <c:pt idx="0">
                  <c:v>9.1834499999999993E-3</c:v>
                </c:pt>
                <c:pt idx="1">
                  <c:v>1.2430399999999999E-2</c:v>
                </c:pt>
                <c:pt idx="2">
                  <c:v>3.9270100000000002E-2</c:v>
                </c:pt>
                <c:pt idx="3">
                  <c:v>4.65444E-2</c:v>
                </c:pt>
                <c:pt idx="4">
                  <c:v>7.1962600000000002E-2</c:v>
                </c:pt>
                <c:pt idx="5">
                  <c:v>0.105854</c:v>
                </c:pt>
                <c:pt idx="6">
                  <c:v>0.121057</c:v>
                </c:pt>
                <c:pt idx="7">
                  <c:v>0.14052500000000001</c:v>
                </c:pt>
                <c:pt idx="8">
                  <c:v>0.148343</c:v>
                </c:pt>
                <c:pt idx="9">
                  <c:v>0.156941</c:v>
                </c:pt>
                <c:pt idx="10">
                  <c:v>0.16769899999999999</c:v>
                </c:pt>
                <c:pt idx="11">
                  <c:v>0.16898099999999999</c:v>
                </c:pt>
                <c:pt idx="12">
                  <c:v>0.180143</c:v>
                </c:pt>
                <c:pt idx="13">
                  <c:v>0.207875</c:v>
                </c:pt>
                <c:pt idx="14">
                  <c:v>0.22781699999999999</c:v>
                </c:pt>
                <c:pt idx="15">
                  <c:v>0.25745699999999999</c:v>
                </c:pt>
                <c:pt idx="16">
                  <c:v>0.26081599999999999</c:v>
                </c:pt>
                <c:pt idx="17">
                  <c:v>0.27365</c:v>
                </c:pt>
                <c:pt idx="18">
                  <c:v>0.29027500000000001</c:v>
                </c:pt>
                <c:pt idx="19">
                  <c:v>0.29400999999999999</c:v>
                </c:pt>
                <c:pt idx="20">
                  <c:v>0.30375099999999999</c:v>
                </c:pt>
                <c:pt idx="21">
                  <c:v>0.30411300000000002</c:v>
                </c:pt>
                <c:pt idx="22">
                  <c:v>0.32156000000000001</c:v>
                </c:pt>
                <c:pt idx="23">
                  <c:v>0.33336399999999999</c:v>
                </c:pt>
                <c:pt idx="24">
                  <c:v>0.35738799999999998</c:v>
                </c:pt>
                <c:pt idx="25">
                  <c:v>0.374083</c:v>
                </c:pt>
                <c:pt idx="26">
                  <c:v>0.38389299999999998</c:v>
                </c:pt>
                <c:pt idx="27">
                  <c:v>0.42430600000000002</c:v>
                </c:pt>
                <c:pt idx="28">
                  <c:v>0.44706299999999999</c:v>
                </c:pt>
                <c:pt idx="29">
                  <c:v>0.45056099999999999</c:v>
                </c:pt>
                <c:pt idx="30">
                  <c:v>0.45609300000000003</c:v>
                </c:pt>
                <c:pt idx="31">
                  <c:v>0.48435400000000001</c:v>
                </c:pt>
                <c:pt idx="32">
                  <c:v>0.50167600000000001</c:v>
                </c:pt>
                <c:pt idx="33">
                  <c:v>0.51191799999999998</c:v>
                </c:pt>
                <c:pt idx="34">
                  <c:v>0.52248099999999997</c:v>
                </c:pt>
                <c:pt idx="35">
                  <c:v>0.54005400000000003</c:v>
                </c:pt>
                <c:pt idx="36">
                  <c:v>0.54713299999999998</c:v>
                </c:pt>
                <c:pt idx="37">
                  <c:v>0.57938000000000001</c:v>
                </c:pt>
                <c:pt idx="38">
                  <c:v>0.58605499999999999</c:v>
                </c:pt>
                <c:pt idx="39">
                  <c:v>0.61353500000000005</c:v>
                </c:pt>
                <c:pt idx="40">
                  <c:v>0.619556</c:v>
                </c:pt>
                <c:pt idx="41">
                  <c:v>0.63146999999999998</c:v>
                </c:pt>
                <c:pt idx="42">
                  <c:v>0.66039999999999999</c:v>
                </c:pt>
                <c:pt idx="43">
                  <c:v>0.67235699999999998</c:v>
                </c:pt>
                <c:pt idx="44">
                  <c:v>0.70071600000000001</c:v>
                </c:pt>
                <c:pt idx="45">
                  <c:v>0.725688</c:v>
                </c:pt>
                <c:pt idx="46">
                  <c:v>0.75053499999999995</c:v>
                </c:pt>
                <c:pt idx="47">
                  <c:v>0.78253099999999998</c:v>
                </c:pt>
                <c:pt idx="48">
                  <c:v>0.78423100000000001</c:v>
                </c:pt>
                <c:pt idx="49">
                  <c:v>0.81383000000000005</c:v>
                </c:pt>
                <c:pt idx="50">
                  <c:v>0.84273200000000004</c:v>
                </c:pt>
                <c:pt idx="51">
                  <c:v>0.89039100000000004</c:v>
                </c:pt>
                <c:pt idx="52">
                  <c:v>0.91252</c:v>
                </c:pt>
                <c:pt idx="53">
                  <c:v>0.92442100000000005</c:v>
                </c:pt>
                <c:pt idx="54">
                  <c:v>0.94493400000000005</c:v>
                </c:pt>
                <c:pt idx="55">
                  <c:v>0.94585399999999997</c:v>
                </c:pt>
                <c:pt idx="56">
                  <c:v>0.97212200000000004</c:v>
                </c:pt>
                <c:pt idx="57">
                  <c:v>0.99324800000000002</c:v>
                </c:pt>
                <c:pt idx="58">
                  <c:v>1.00589</c:v>
                </c:pt>
                <c:pt idx="59">
                  <c:v>1.0197000000000001</c:v>
                </c:pt>
                <c:pt idx="60">
                  <c:v>1.02536</c:v>
                </c:pt>
                <c:pt idx="61">
                  <c:v>1.04372</c:v>
                </c:pt>
                <c:pt idx="62">
                  <c:v>1.05277</c:v>
                </c:pt>
                <c:pt idx="63">
                  <c:v>1.0803400000000001</c:v>
                </c:pt>
                <c:pt idx="64">
                  <c:v>1.0846899999999999</c:v>
                </c:pt>
                <c:pt idx="65">
                  <c:v>1.10795</c:v>
                </c:pt>
                <c:pt idx="66">
                  <c:v>1.1176900000000001</c:v>
                </c:pt>
                <c:pt idx="67">
                  <c:v>1.1359600000000001</c:v>
                </c:pt>
                <c:pt idx="68">
                  <c:v>1.1536200000000001</c:v>
                </c:pt>
                <c:pt idx="69">
                  <c:v>1.1676500000000001</c:v>
                </c:pt>
                <c:pt idx="70">
                  <c:v>1.1752499999999999</c:v>
                </c:pt>
                <c:pt idx="71">
                  <c:v>1.19116</c:v>
                </c:pt>
                <c:pt idx="72">
                  <c:v>1.19861</c:v>
                </c:pt>
                <c:pt idx="73">
                  <c:v>1.21045</c:v>
                </c:pt>
                <c:pt idx="74">
                  <c:v>1.2287999999999999</c:v>
                </c:pt>
                <c:pt idx="75">
                  <c:v>1.2436100000000001</c:v>
                </c:pt>
                <c:pt idx="76">
                  <c:v>1.26596</c:v>
                </c:pt>
                <c:pt idx="77">
                  <c:v>1.2755799999999999</c:v>
                </c:pt>
                <c:pt idx="78">
                  <c:v>1.28932</c:v>
                </c:pt>
                <c:pt idx="79">
                  <c:v>1.30752</c:v>
                </c:pt>
                <c:pt idx="80">
                  <c:v>1.32938</c:v>
                </c:pt>
                <c:pt idx="81">
                  <c:v>1.34948</c:v>
                </c:pt>
                <c:pt idx="82">
                  <c:v>1.36385</c:v>
                </c:pt>
                <c:pt idx="83">
                  <c:v>1.3813599999999999</c:v>
                </c:pt>
                <c:pt idx="84">
                  <c:v>1.4090499999999999</c:v>
                </c:pt>
                <c:pt idx="85">
                  <c:v>1.41852</c:v>
                </c:pt>
                <c:pt idx="86">
                  <c:v>1.44591</c:v>
                </c:pt>
                <c:pt idx="87">
                  <c:v>1.48</c:v>
                </c:pt>
                <c:pt idx="88">
                  <c:v>1.49349</c:v>
                </c:pt>
                <c:pt idx="89">
                  <c:v>1.50929</c:v>
                </c:pt>
                <c:pt idx="90">
                  <c:v>1.53447</c:v>
                </c:pt>
                <c:pt idx="91">
                  <c:v>1.5504</c:v>
                </c:pt>
                <c:pt idx="92">
                  <c:v>1.5745499999999999</c:v>
                </c:pt>
                <c:pt idx="93">
                  <c:v>1.6056999999999999</c:v>
                </c:pt>
                <c:pt idx="94">
                  <c:v>1.6305700000000001</c:v>
                </c:pt>
                <c:pt idx="95">
                  <c:v>1.64093</c:v>
                </c:pt>
                <c:pt idx="96">
                  <c:v>1.67395</c:v>
                </c:pt>
                <c:pt idx="97">
                  <c:v>1.70872</c:v>
                </c:pt>
                <c:pt idx="98">
                  <c:v>1.746</c:v>
                </c:pt>
                <c:pt idx="99">
                  <c:v>1.75952</c:v>
                </c:pt>
                <c:pt idx="100">
                  <c:v>1.79406</c:v>
                </c:pt>
                <c:pt idx="101">
                  <c:v>1.80644</c:v>
                </c:pt>
                <c:pt idx="102">
                  <c:v>1.8310299999999999</c:v>
                </c:pt>
                <c:pt idx="103">
                  <c:v>1.8911500000000001</c:v>
                </c:pt>
                <c:pt idx="104">
                  <c:v>1.9141999999999999</c:v>
                </c:pt>
                <c:pt idx="105">
                  <c:v>1.95201</c:v>
                </c:pt>
                <c:pt idx="106">
                  <c:v>1.9950699999999999</c:v>
                </c:pt>
                <c:pt idx="107">
                  <c:v>2.0583499999999999</c:v>
                </c:pt>
                <c:pt idx="108">
                  <c:v>2.0886999999999998</c:v>
                </c:pt>
                <c:pt idx="109">
                  <c:v>2.1493899999999999</c:v>
                </c:pt>
                <c:pt idx="110">
                  <c:v>2.1928200000000002</c:v>
                </c:pt>
                <c:pt idx="111">
                  <c:v>2.2299099999999998</c:v>
                </c:pt>
                <c:pt idx="112">
                  <c:v>2.2461099999999998</c:v>
                </c:pt>
                <c:pt idx="113">
                  <c:v>2.2509899999999998</c:v>
                </c:pt>
                <c:pt idx="114">
                  <c:v>2.2600799999999999</c:v>
                </c:pt>
                <c:pt idx="115">
                  <c:v>2.2862900000000002</c:v>
                </c:pt>
                <c:pt idx="116">
                  <c:v>2.30369</c:v>
                </c:pt>
                <c:pt idx="117">
                  <c:v>2.3137099999999999</c:v>
                </c:pt>
                <c:pt idx="118">
                  <c:v>2.32545</c:v>
                </c:pt>
                <c:pt idx="119">
                  <c:v>2.3365499999999999</c:v>
                </c:pt>
                <c:pt idx="120">
                  <c:v>2.3505199999999999</c:v>
                </c:pt>
                <c:pt idx="121">
                  <c:v>2.3687299999999998</c:v>
                </c:pt>
                <c:pt idx="122">
                  <c:v>2.3881600000000001</c:v>
                </c:pt>
                <c:pt idx="123">
                  <c:v>2.4147699999999999</c:v>
                </c:pt>
                <c:pt idx="124">
                  <c:v>2.4498600000000001</c:v>
                </c:pt>
                <c:pt idx="125">
                  <c:v>2.4710999999999999</c:v>
                </c:pt>
                <c:pt idx="126">
                  <c:v>2.5089199999999998</c:v>
                </c:pt>
                <c:pt idx="127">
                  <c:v>2.5302899999999999</c:v>
                </c:pt>
                <c:pt idx="128">
                  <c:v>2.5571799999999998</c:v>
                </c:pt>
                <c:pt idx="129">
                  <c:v>2.5804399999999998</c:v>
                </c:pt>
                <c:pt idx="130">
                  <c:v>2.5975199999999998</c:v>
                </c:pt>
                <c:pt idx="131">
                  <c:v>2.6294900000000001</c:v>
                </c:pt>
                <c:pt idx="132">
                  <c:v>2.6511300000000002</c:v>
                </c:pt>
                <c:pt idx="133">
                  <c:v>2.6805599999999998</c:v>
                </c:pt>
                <c:pt idx="134">
                  <c:v>2.6907199999999998</c:v>
                </c:pt>
                <c:pt idx="135">
                  <c:v>2.7047400000000001</c:v>
                </c:pt>
                <c:pt idx="136">
                  <c:v>2.7305899999999999</c:v>
                </c:pt>
                <c:pt idx="137">
                  <c:v>2.7481</c:v>
                </c:pt>
                <c:pt idx="138">
                  <c:v>2.77928</c:v>
                </c:pt>
                <c:pt idx="139">
                  <c:v>2.8079200000000002</c:v>
                </c:pt>
                <c:pt idx="140">
                  <c:v>2.8238799999999999</c:v>
                </c:pt>
                <c:pt idx="141">
                  <c:v>2.8332999999999999</c:v>
                </c:pt>
                <c:pt idx="142">
                  <c:v>2.8496600000000001</c:v>
                </c:pt>
                <c:pt idx="143">
                  <c:v>2.8620299999999999</c:v>
                </c:pt>
                <c:pt idx="144">
                  <c:v>2.8725999999999998</c:v>
                </c:pt>
                <c:pt idx="145">
                  <c:v>2.91181</c:v>
                </c:pt>
                <c:pt idx="146">
                  <c:v>2.9502899999999999</c:v>
                </c:pt>
                <c:pt idx="147">
                  <c:v>2.97444</c:v>
                </c:pt>
                <c:pt idx="148">
                  <c:v>2.9846599999999999</c:v>
                </c:pt>
                <c:pt idx="149">
                  <c:v>3.0141499999999999</c:v>
                </c:pt>
                <c:pt idx="150">
                  <c:v>3.01722</c:v>
                </c:pt>
                <c:pt idx="151">
                  <c:v>3.0279199999999999</c:v>
                </c:pt>
                <c:pt idx="152">
                  <c:v>3.0467200000000001</c:v>
                </c:pt>
                <c:pt idx="153">
                  <c:v>3.0643600000000002</c:v>
                </c:pt>
                <c:pt idx="154">
                  <c:v>3.1453099999999998</c:v>
                </c:pt>
                <c:pt idx="155">
                  <c:v>3.1559200000000001</c:v>
                </c:pt>
                <c:pt idx="156">
                  <c:v>3.1875900000000001</c:v>
                </c:pt>
                <c:pt idx="157">
                  <c:v>3.2304200000000001</c:v>
                </c:pt>
                <c:pt idx="158">
                  <c:v>3.2726999999999999</c:v>
                </c:pt>
                <c:pt idx="159">
                  <c:v>3.2970299999999999</c:v>
                </c:pt>
                <c:pt idx="160">
                  <c:v>3.3584499999999999</c:v>
                </c:pt>
                <c:pt idx="161">
                  <c:v>3.42815</c:v>
                </c:pt>
                <c:pt idx="162">
                  <c:v>3.4731299999999998</c:v>
                </c:pt>
                <c:pt idx="163">
                  <c:v>3.52183</c:v>
                </c:pt>
                <c:pt idx="164">
                  <c:v>3.53241</c:v>
                </c:pt>
                <c:pt idx="165">
                  <c:v>3.5403099999999998</c:v>
                </c:pt>
                <c:pt idx="166">
                  <c:v>3.5644100000000001</c:v>
                </c:pt>
                <c:pt idx="167">
                  <c:v>3.5992600000000001</c:v>
                </c:pt>
                <c:pt idx="168">
                  <c:v>3.6097800000000002</c:v>
                </c:pt>
                <c:pt idx="169">
                  <c:v>3.6524100000000002</c:v>
                </c:pt>
                <c:pt idx="170">
                  <c:v>3.6603400000000001</c:v>
                </c:pt>
                <c:pt idx="171">
                  <c:v>3.6735500000000001</c:v>
                </c:pt>
                <c:pt idx="172">
                  <c:v>3.7000999999999999</c:v>
                </c:pt>
                <c:pt idx="173">
                  <c:v>3.7162500000000001</c:v>
                </c:pt>
                <c:pt idx="174">
                  <c:v>3.7270599999999998</c:v>
                </c:pt>
                <c:pt idx="175">
                  <c:v>3.7726700000000002</c:v>
                </c:pt>
                <c:pt idx="176">
                  <c:v>3.7993600000000001</c:v>
                </c:pt>
                <c:pt idx="177">
                  <c:v>3.8236599999999998</c:v>
                </c:pt>
                <c:pt idx="178">
                  <c:v>3.8451499999999998</c:v>
                </c:pt>
                <c:pt idx="179">
                  <c:v>3.87175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525-C043-BAAE-4AC51451EC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3805999"/>
        <c:axId val="1"/>
      </c:scatterChart>
      <c:valAx>
        <c:axId val="1403805999"/>
        <c:scaling>
          <c:orientation val="minMax"/>
        </c:scaling>
        <c:delete val="0"/>
        <c:axPos val="t"/>
        <c:numFmt formatCode="0.00_ 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%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1"/>
        <c:crosses val="autoZero"/>
        <c:crossBetween val="midCat"/>
        <c:majorUnit val="2"/>
      </c:valAx>
      <c:valAx>
        <c:axId val="1"/>
        <c:scaling>
          <c:orientation val="maxMin"/>
        </c:scaling>
        <c:delete val="0"/>
        <c:axPos val="l"/>
        <c:numFmt formatCode="0.000_);[Red]\(0.000\)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%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1403805999"/>
        <c:crossesAt val="-12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</c:spPr>
  <c:txPr>
    <a:bodyPr/>
    <a:lstStyle/>
    <a:p>
      <a:pPr>
        <a:defRPr sz="1000" b="0" i="0" u="none" strike="noStrike" baseline="0%">
          <a:solidFill>
            <a:srgbClr val="000000"/>
          </a:solidFill>
          <a:latin typeface="宋体"/>
          <a:ea typeface="宋体"/>
          <a:cs typeface="宋体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3506999125109366E-2"/>
          <c:y val="2.9888801957344703E-2"/>
          <c:w val="0.87205555555555558"/>
          <c:h val="0.94610893704004428"/>
        </c:manualLayout>
      </c:layout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'Sheet1 (2)'!$F$6:$F$185</c:f>
              <c:numCache>
                <c:formatCode>0.00_ </c:formatCode>
                <c:ptCount val="180"/>
                <c:pt idx="0">
                  <c:v>-22.958100000000002</c:v>
                </c:pt>
                <c:pt idx="1">
                  <c:v>-22.282699999999998</c:v>
                </c:pt>
                <c:pt idx="2">
                  <c:v>-22.5139</c:v>
                </c:pt>
                <c:pt idx="3">
                  <c:v>-20.931699999999999</c:v>
                </c:pt>
                <c:pt idx="4">
                  <c:v>-19.716100000000001</c:v>
                </c:pt>
                <c:pt idx="5">
                  <c:v>-20.352599999999999</c:v>
                </c:pt>
                <c:pt idx="6">
                  <c:v>-21.6065</c:v>
                </c:pt>
                <c:pt idx="7">
                  <c:v>-22.455200000000001</c:v>
                </c:pt>
                <c:pt idx="8">
                  <c:v>-18.654</c:v>
                </c:pt>
                <c:pt idx="9">
                  <c:v>-16.898399999999999</c:v>
                </c:pt>
                <c:pt idx="10">
                  <c:v>-19.348099999999999</c:v>
                </c:pt>
                <c:pt idx="11">
                  <c:v>-19.946100000000001</c:v>
                </c:pt>
                <c:pt idx="12">
                  <c:v>-18.981200000000001</c:v>
                </c:pt>
                <c:pt idx="13">
                  <c:v>-21.624199999999998</c:v>
                </c:pt>
                <c:pt idx="14">
                  <c:v>-20.659500000000001</c:v>
                </c:pt>
                <c:pt idx="15">
                  <c:v>-19.54</c:v>
                </c:pt>
                <c:pt idx="16">
                  <c:v>-18.556000000000001</c:v>
                </c:pt>
                <c:pt idx="17">
                  <c:v>-20.986599999999999</c:v>
                </c:pt>
                <c:pt idx="18">
                  <c:v>-19.326899999999998</c:v>
                </c:pt>
                <c:pt idx="19">
                  <c:v>-18.1694</c:v>
                </c:pt>
                <c:pt idx="20">
                  <c:v>-23.0503</c:v>
                </c:pt>
                <c:pt idx="21">
                  <c:v>-21.256</c:v>
                </c:pt>
                <c:pt idx="22">
                  <c:v>-23.397300000000001</c:v>
                </c:pt>
                <c:pt idx="23">
                  <c:v>-23.165400000000002</c:v>
                </c:pt>
                <c:pt idx="24">
                  <c:v>-20.117100000000001</c:v>
                </c:pt>
                <c:pt idx="25">
                  <c:v>-21.3324</c:v>
                </c:pt>
                <c:pt idx="26">
                  <c:v>-19.7502</c:v>
                </c:pt>
                <c:pt idx="27">
                  <c:v>-22.238700000000001</c:v>
                </c:pt>
                <c:pt idx="28">
                  <c:v>-23.029499999999999</c:v>
                </c:pt>
                <c:pt idx="29">
                  <c:v>-18.128900000000002</c:v>
                </c:pt>
                <c:pt idx="30">
                  <c:v>-21.022500000000001</c:v>
                </c:pt>
                <c:pt idx="31">
                  <c:v>-22.990100000000002</c:v>
                </c:pt>
                <c:pt idx="32">
                  <c:v>-23.1632</c:v>
                </c:pt>
                <c:pt idx="33">
                  <c:v>-20.732099999999999</c:v>
                </c:pt>
                <c:pt idx="34">
                  <c:v>-19.883099999999999</c:v>
                </c:pt>
                <c:pt idx="35">
                  <c:v>-19.593399999999999</c:v>
                </c:pt>
                <c:pt idx="36">
                  <c:v>-21.773299999999999</c:v>
                </c:pt>
                <c:pt idx="37">
                  <c:v>-19.3614</c:v>
                </c:pt>
                <c:pt idx="38">
                  <c:v>-23.0459</c:v>
                </c:pt>
                <c:pt idx="39">
                  <c:v>-24.396000000000001</c:v>
                </c:pt>
                <c:pt idx="40">
                  <c:v>-21.674900000000001</c:v>
                </c:pt>
                <c:pt idx="41">
                  <c:v>-23.0059</c:v>
                </c:pt>
                <c:pt idx="42">
                  <c:v>-23.796700000000001</c:v>
                </c:pt>
                <c:pt idx="43">
                  <c:v>-24.201799999999999</c:v>
                </c:pt>
                <c:pt idx="44">
                  <c:v>-22.677299999999999</c:v>
                </c:pt>
                <c:pt idx="45">
                  <c:v>-22.271799999999999</c:v>
                </c:pt>
                <c:pt idx="46">
                  <c:v>-23.969100000000001</c:v>
                </c:pt>
                <c:pt idx="47">
                  <c:v>-18.142499999999998</c:v>
                </c:pt>
                <c:pt idx="48">
                  <c:v>-20.071400000000001</c:v>
                </c:pt>
                <c:pt idx="49">
                  <c:v>-23.5825</c:v>
                </c:pt>
                <c:pt idx="50">
                  <c:v>-23.890899999999998</c:v>
                </c:pt>
                <c:pt idx="51">
                  <c:v>-23.5625</c:v>
                </c:pt>
                <c:pt idx="52">
                  <c:v>-20.7455</c:v>
                </c:pt>
                <c:pt idx="53">
                  <c:v>-21.652200000000001</c:v>
                </c:pt>
                <c:pt idx="54">
                  <c:v>-21.034500000000001</c:v>
                </c:pt>
                <c:pt idx="55">
                  <c:v>-19.645399999999999</c:v>
                </c:pt>
                <c:pt idx="56">
                  <c:v>-19.220700000000001</c:v>
                </c:pt>
                <c:pt idx="57">
                  <c:v>-21.4392</c:v>
                </c:pt>
                <c:pt idx="58">
                  <c:v>-23.194800000000001</c:v>
                </c:pt>
                <c:pt idx="59">
                  <c:v>-22.3843</c:v>
                </c:pt>
                <c:pt idx="60">
                  <c:v>-23.985399999999998</c:v>
                </c:pt>
                <c:pt idx="61">
                  <c:v>-22.692499999999999</c:v>
                </c:pt>
                <c:pt idx="62">
                  <c:v>-23.232500000000002</c:v>
                </c:pt>
                <c:pt idx="63">
                  <c:v>-24.563500000000001</c:v>
                </c:pt>
                <c:pt idx="64">
                  <c:v>-24.775500000000001</c:v>
                </c:pt>
                <c:pt idx="65">
                  <c:v>-22.3249</c:v>
                </c:pt>
                <c:pt idx="66">
                  <c:v>-23.984000000000002</c:v>
                </c:pt>
                <c:pt idx="67">
                  <c:v>-23.366499999999998</c:v>
                </c:pt>
                <c:pt idx="68">
                  <c:v>-21.244</c:v>
                </c:pt>
                <c:pt idx="69">
                  <c:v>-24.021699999999999</c:v>
                </c:pt>
                <c:pt idx="70">
                  <c:v>-23.461300000000001</c:v>
                </c:pt>
                <c:pt idx="71">
                  <c:v>-24.6767</c:v>
                </c:pt>
                <c:pt idx="72">
                  <c:v>-24.2712</c:v>
                </c:pt>
                <c:pt idx="73">
                  <c:v>-23.229399999999998</c:v>
                </c:pt>
                <c:pt idx="74">
                  <c:v>-22.7852</c:v>
                </c:pt>
                <c:pt idx="75">
                  <c:v>-24.1934</c:v>
                </c:pt>
                <c:pt idx="76">
                  <c:v>-24.096599999999999</c:v>
                </c:pt>
                <c:pt idx="77">
                  <c:v>-23.710599999999999</c:v>
                </c:pt>
                <c:pt idx="78">
                  <c:v>-22.012799999999999</c:v>
                </c:pt>
                <c:pt idx="79">
                  <c:v>-21.6265</c:v>
                </c:pt>
                <c:pt idx="80">
                  <c:v>-22.919</c:v>
                </c:pt>
                <c:pt idx="81">
                  <c:v>-23.6907</c:v>
                </c:pt>
                <c:pt idx="82">
                  <c:v>-21.78</c:v>
                </c:pt>
                <c:pt idx="83">
                  <c:v>-22.706</c:v>
                </c:pt>
                <c:pt idx="84">
                  <c:v>-23.419699999999999</c:v>
                </c:pt>
                <c:pt idx="85">
                  <c:v>-23.7089</c:v>
                </c:pt>
                <c:pt idx="86">
                  <c:v>-22.840399999999999</c:v>
                </c:pt>
                <c:pt idx="87">
                  <c:v>-24.190799999999999</c:v>
                </c:pt>
                <c:pt idx="88">
                  <c:v>-24.769400000000001</c:v>
                </c:pt>
                <c:pt idx="89">
                  <c:v>-23.456900000000001</c:v>
                </c:pt>
                <c:pt idx="90">
                  <c:v>-23.1675</c:v>
                </c:pt>
                <c:pt idx="91">
                  <c:v>-24.151399999999999</c:v>
                </c:pt>
                <c:pt idx="92">
                  <c:v>-22.82</c:v>
                </c:pt>
                <c:pt idx="93">
                  <c:v>-19.173400000000001</c:v>
                </c:pt>
                <c:pt idx="94">
                  <c:v>-22.954599999999999</c:v>
                </c:pt>
                <c:pt idx="95">
                  <c:v>-22.414100000000001</c:v>
                </c:pt>
                <c:pt idx="96">
                  <c:v>-20.677700000000002</c:v>
                </c:pt>
                <c:pt idx="97">
                  <c:v>-23.378399999999999</c:v>
                </c:pt>
                <c:pt idx="98">
                  <c:v>-20.715800000000002</c:v>
                </c:pt>
                <c:pt idx="99">
                  <c:v>-22.8765</c:v>
                </c:pt>
                <c:pt idx="100">
                  <c:v>-18.7087</c:v>
                </c:pt>
                <c:pt idx="101">
                  <c:v>-22.084900000000001</c:v>
                </c:pt>
                <c:pt idx="102">
                  <c:v>-20.7149</c:v>
                </c:pt>
                <c:pt idx="103">
                  <c:v>-22.971699999999998</c:v>
                </c:pt>
                <c:pt idx="104">
                  <c:v>-21.8719</c:v>
                </c:pt>
                <c:pt idx="105">
                  <c:v>-22.4697</c:v>
                </c:pt>
                <c:pt idx="106">
                  <c:v>-23.009699999999999</c:v>
                </c:pt>
                <c:pt idx="107">
                  <c:v>-20.8871</c:v>
                </c:pt>
                <c:pt idx="108">
                  <c:v>-20.057500000000001</c:v>
                </c:pt>
                <c:pt idx="109">
                  <c:v>-23.124500000000001</c:v>
                </c:pt>
                <c:pt idx="110">
                  <c:v>-22.082699999999999</c:v>
                </c:pt>
                <c:pt idx="111">
                  <c:v>-22.313800000000001</c:v>
                </c:pt>
                <c:pt idx="112">
                  <c:v>-23.8185</c:v>
                </c:pt>
                <c:pt idx="113">
                  <c:v>-22.158999999999999</c:v>
                </c:pt>
                <c:pt idx="114">
                  <c:v>-19.5928</c:v>
                </c:pt>
                <c:pt idx="115">
                  <c:v>-24.820799999999998</c:v>
                </c:pt>
                <c:pt idx="116">
                  <c:v>-22.582699999999999</c:v>
                </c:pt>
                <c:pt idx="117">
                  <c:v>-23.392600000000002</c:v>
                </c:pt>
                <c:pt idx="118">
                  <c:v>-22.524100000000001</c:v>
                </c:pt>
                <c:pt idx="119">
                  <c:v>-19.571999999999999</c:v>
                </c:pt>
                <c:pt idx="120">
                  <c:v>-21.617000000000001</c:v>
                </c:pt>
                <c:pt idx="121">
                  <c:v>-22.561900000000001</c:v>
                </c:pt>
                <c:pt idx="122">
                  <c:v>-20.439699999999998</c:v>
                </c:pt>
                <c:pt idx="123">
                  <c:v>-21.789899999999999</c:v>
                </c:pt>
                <c:pt idx="124">
                  <c:v>-21.037299999999998</c:v>
                </c:pt>
                <c:pt idx="125">
                  <c:v>-21.963100000000001</c:v>
                </c:pt>
                <c:pt idx="126">
                  <c:v>-22.696200000000001</c:v>
                </c:pt>
                <c:pt idx="127">
                  <c:v>-22.2135</c:v>
                </c:pt>
                <c:pt idx="128">
                  <c:v>-19.9175</c:v>
                </c:pt>
                <c:pt idx="129">
                  <c:v>-22.5411</c:v>
                </c:pt>
                <c:pt idx="130">
                  <c:v>-21.460699999999999</c:v>
                </c:pt>
                <c:pt idx="131">
                  <c:v>-21.8079</c:v>
                </c:pt>
                <c:pt idx="132">
                  <c:v>-23.3703</c:v>
                </c:pt>
                <c:pt idx="133">
                  <c:v>-22.4056</c:v>
                </c:pt>
                <c:pt idx="134">
                  <c:v>-24.392499999999998</c:v>
                </c:pt>
                <c:pt idx="135">
                  <c:v>-22.791</c:v>
                </c:pt>
                <c:pt idx="136">
                  <c:v>-23.658999999999999</c:v>
                </c:pt>
                <c:pt idx="137">
                  <c:v>-22.732700000000001</c:v>
                </c:pt>
                <c:pt idx="138">
                  <c:v>-23.754799999999999</c:v>
                </c:pt>
                <c:pt idx="139">
                  <c:v>-22.944400000000002</c:v>
                </c:pt>
                <c:pt idx="140">
                  <c:v>-24.1206</c:v>
                </c:pt>
                <c:pt idx="141">
                  <c:v>-22.77</c:v>
                </c:pt>
                <c:pt idx="142">
                  <c:v>-22.866099999999999</c:v>
                </c:pt>
                <c:pt idx="143">
                  <c:v>-23.734100000000002</c:v>
                </c:pt>
                <c:pt idx="144">
                  <c:v>-22.633900000000001</c:v>
                </c:pt>
                <c:pt idx="145">
                  <c:v>-23.8874</c:v>
                </c:pt>
                <c:pt idx="146">
                  <c:v>-23.019100000000002</c:v>
                </c:pt>
                <c:pt idx="147">
                  <c:v>-22.864100000000001</c:v>
                </c:pt>
                <c:pt idx="148">
                  <c:v>-23.1724</c:v>
                </c:pt>
                <c:pt idx="149">
                  <c:v>-24.464700000000001</c:v>
                </c:pt>
                <c:pt idx="150">
                  <c:v>-22.805299999999999</c:v>
                </c:pt>
                <c:pt idx="151">
                  <c:v>-23.866</c:v>
                </c:pt>
                <c:pt idx="152">
                  <c:v>-22.534600000000001</c:v>
                </c:pt>
                <c:pt idx="153">
                  <c:v>-23.4605</c:v>
                </c:pt>
                <c:pt idx="154">
                  <c:v>-23.1127</c:v>
                </c:pt>
                <c:pt idx="155">
                  <c:v>-24.250900000000001</c:v>
                </c:pt>
                <c:pt idx="156">
                  <c:v>-22.5335</c:v>
                </c:pt>
                <c:pt idx="157">
                  <c:v>-24.018899999999999</c:v>
                </c:pt>
                <c:pt idx="158">
                  <c:v>-22.996200000000002</c:v>
                </c:pt>
                <c:pt idx="159">
                  <c:v>-23.940799999999999</c:v>
                </c:pt>
                <c:pt idx="160">
                  <c:v>-23.169</c:v>
                </c:pt>
                <c:pt idx="161">
                  <c:v>-24.403099999999998</c:v>
                </c:pt>
                <c:pt idx="162">
                  <c:v>-22.839700000000001</c:v>
                </c:pt>
                <c:pt idx="163">
                  <c:v>-23.572500000000002</c:v>
                </c:pt>
                <c:pt idx="164">
                  <c:v>-24.015899999999998</c:v>
                </c:pt>
                <c:pt idx="165">
                  <c:v>-22.781199999999998</c:v>
                </c:pt>
                <c:pt idx="166">
                  <c:v>-23.205200000000001</c:v>
                </c:pt>
                <c:pt idx="167">
                  <c:v>-23.532900000000001</c:v>
                </c:pt>
                <c:pt idx="168">
                  <c:v>-24.072900000000001</c:v>
                </c:pt>
                <c:pt idx="169">
                  <c:v>-23.8217</c:v>
                </c:pt>
                <c:pt idx="170">
                  <c:v>-24.265000000000001</c:v>
                </c:pt>
                <c:pt idx="171">
                  <c:v>-23.666599999999999</c:v>
                </c:pt>
                <c:pt idx="172">
                  <c:v>-24.206299999999999</c:v>
                </c:pt>
                <c:pt idx="173">
                  <c:v>-23.5307</c:v>
                </c:pt>
                <c:pt idx="174">
                  <c:v>-24.861599999999999</c:v>
                </c:pt>
                <c:pt idx="175">
                  <c:v>-23.645600000000002</c:v>
                </c:pt>
                <c:pt idx="176">
                  <c:v>-23.9924</c:v>
                </c:pt>
                <c:pt idx="177">
                  <c:v>-23.528700000000001</c:v>
                </c:pt>
                <c:pt idx="178">
                  <c:v>-24.261399999999998</c:v>
                </c:pt>
                <c:pt idx="179">
                  <c:v>-21.675999999999998</c:v>
                </c:pt>
              </c:numCache>
            </c:numRef>
          </c:xVal>
          <c:yVal>
            <c:numRef>
              <c:f>'Sheet1 (2)'!$G$6:$G$185</c:f>
              <c:numCache>
                <c:formatCode>0.000_);[Red]\(0.000\)</c:formatCode>
                <c:ptCount val="180"/>
                <c:pt idx="0">
                  <c:v>1.4489E-2</c:v>
                </c:pt>
                <c:pt idx="1">
                  <c:v>2.0145099999999999E-2</c:v>
                </c:pt>
                <c:pt idx="2">
                  <c:v>3.3428800000000002E-2</c:v>
                </c:pt>
                <c:pt idx="3">
                  <c:v>4.2167000000000003E-2</c:v>
                </c:pt>
                <c:pt idx="4">
                  <c:v>5.0741599999999998E-2</c:v>
                </c:pt>
                <c:pt idx="5">
                  <c:v>5.5812300000000002E-2</c:v>
                </c:pt>
                <c:pt idx="6">
                  <c:v>6.0607500000000002E-2</c:v>
                </c:pt>
                <c:pt idx="7">
                  <c:v>6.8260899999999999E-2</c:v>
                </c:pt>
                <c:pt idx="8">
                  <c:v>9.1376100000000002E-2</c:v>
                </c:pt>
                <c:pt idx="9">
                  <c:v>9.2159599999999994E-2</c:v>
                </c:pt>
                <c:pt idx="10">
                  <c:v>0.109808</c:v>
                </c:pt>
                <c:pt idx="11">
                  <c:v>0.112219</c:v>
                </c:pt>
                <c:pt idx="12">
                  <c:v>0.12603600000000001</c:v>
                </c:pt>
                <c:pt idx="13">
                  <c:v>0.12753400000000001</c:v>
                </c:pt>
                <c:pt idx="14">
                  <c:v>0.13064200000000001</c:v>
                </c:pt>
                <c:pt idx="15">
                  <c:v>0.15256</c:v>
                </c:pt>
                <c:pt idx="16">
                  <c:v>0.15567700000000001</c:v>
                </c:pt>
                <c:pt idx="17">
                  <c:v>0.165302</c:v>
                </c:pt>
                <c:pt idx="18">
                  <c:v>0.18746099999999999</c:v>
                </c:pt>
                <c:pt idx="19">
                  <c:v>0.18797800000000001</c:v>
                </c:pt>
                <c:pt idx="20">
                  <c:v>0.193832</c:v>
                </c:pt>
                <c:pt idx="21">
                  <c:v>0.194633</c:v>
                </c:pt>
                <c:pt idx="22">
                  <c:v>0.201709</c:v>
                </c:pt>
                <c:pt idx="23">
                  <c:v>0.220554</c:v>
                </c:pt>
                <c:pt idx="24">
                  <c:v>0.221915</c:v>
                </c:pt>
                <c:pt idx="25">
                  <c:v>0.229405</c:v>
                </c:pt>
                <c:pt idx="26">
                  <c:v>0.23814299999999999</c:v>
                </c:pt>
                <c:pt idx="27">
                  <c:v>0.245064</c:v>
                </c:pt>
                <c:pt idx="28">
                  <c:v>0.25274400000000002</c:v>
                </c:pt>
                <c:pt idx="29">
                  <c:v>0.26563999999999999</c:v>
                </c:pt>
                <c:pt idx="30">
                  <c:v>0.28041300000000002</c:v>
                </c:pt>
                <c:pt idx="31">
                  <c:v>0.290244</c:v>
                </c:pt>
                <c:pt idx="32">
                  <c:v>0.30890899999999999</c:v>
                </c:pt>
                <c:pt idx="33">
                  <c:v>0.32070300000000002</c:v>
                </c:pt>
                <c:pt idx="34">
                  <c:v>0.32643699999999998</c:v>
                </c:pt>
                <c:pt idx="35">
                  <c:v>0.33727600000000002</c:v>
                </c:pt>
                <c:pt idx="36">
                  <c:v>0.344335</c:v>
                </c:pt>
                <c:pt idx="37">
                  <c:v>0.35879800000000001</c:v>
                </c:pt>
                <c:pt idx="38">
                  <c:v>0.37321799999999999</c:v>
                </c:pt>
                <c:pt idx="39">
                  <c:v>0.38868000000000003</c:v>
                </c:pt>
                <c:pt idx="40">
                  <c:v>0.42470000000000002</c:v>
                </c:pt>
                <c:pt idx="41">
                  <c:v>0.43213800000000002</c:v>
                </c:pt>
                <c:pt idx="42">
                  <c:v>0.43981799999999999</c:v>
                </c:pt>
                <c:pt idx="43">
                  <c:v>0.44231399999999998</c:v>
                </c:pt>
                <c:pt idx="44">
                  <c:v>0.45905899999999999</c:v>
                </c:pt>
                <c:pt idx="45">
                  <c:v>0.47262700000000002</c:v>
                </c:pt>
                <c:pt idx="46">
                  <c:v>0.49061100000000002</c:v>
                </c:pt>
                <c:pt idx="47">
                  <c:v>0.50124299999999999</c:v>
                </c:pt>
                <c:pt idx="48">
                  <c:v>0.51644599999999996</c:v>
                </c:pt>
                <c:pt idx="49">
                  <c:v>0.52291200000000004</c:v>
                </c:pt>
                <c:pt idx="50">
                  <c:v>0.536161</c:v>
                </c:pt>
                <c:pt idx="51">
                  <c:v>0.55237199999999997</c:v>
                </c:pt>
                <c:pt idx="52">
                  <c:v>0.56433800000000001</c:v>
                </c:pt>
                <c:pt idx="53">
                  <c:v>0.56661099999999998</c:v>
                </c:pt>
                <c:pt idx="54">
                  <c:v>0.58027399999999996</c:v>
                </c:pt>
                <c:pt idx="55">
                  <c:v>0.58357099999999995</c:v>
                </c:pt>
                <c:pt idx="56">
                  <c:v>0.59179300000000001</c:v>
                </c:pt>
                <c:pt idx="57">
                  <c:v>0.59883500000000001</c:v>
                </c:pt>
                <c:pt idx="58">
                  <c:v>0.60072899999999996</c:v>
                </c:pt>
                <c:pt idx="59">
                  <c:v>0.60912299999999997</c:v>
                </c:pt>
                <c:pt idx="60">
                  <c:v>0.61643999999999999</c:v>
                </c:pt>
                <c:pt idx="61">
                  <c:v>0.62772700000000003</c:v>
                </c:pt>
                <c:pt idx="62">
                  <c:v>0.63819499999999996</c:v>
                </c:pt>
                <c:pt idx="63">
                  <c:v>0.64295599999999997</c:v>
                </c:pt>
                <c:pt idx="64">
                  <c:v>0.65357100000000001</c:v>
                </c:pt>
                <c:pt idx="65">
                  <c:v>0.67072900000000002</c:v>
                </c:pt>
                <c:pt idx="66">
                  <c:v>0.67534300000000003</c:v>
                </c:pt>
                <c:pt idx="67">
                  <c:v>0.68097300000000005</c:v>
                </c:pt>
                <c:pt idx="68">
                  <c:v>0.69262999999999997</c:v>
                </c:pt>
                <c:pt idx="69">
                  <c:v>0.71281000000000005</c:v>
                </c:pt>
                <c:pt idx="70">
                  <c:v>0.74786600000000003</c:v>
                </c:pt>
                <c:pt idx="71">
                  <c:v>0.75267799999999996</c:v>
                </c:pt>
                <c:pt idx="72">
                  <c:v>0.76624599999999998</c:v>
                </c:pt>
                <c:pt idx="73">
                  <c:v>0.76671100000000003</c:v>
                </c:pt>
                <c:pt idx="74">
                  <c:v>0.78564999999999996</c:v>
                </c:pt>
                <c:pt idx="75">
                  <c:v>0.79305400000000004</c:v>
                </c:pt>
                <c:pt idx="76">
                  <c:v>0.80380700000000005</c:v>
                </c:pt>
                <c:pt idx="77">
                  <c:v>0.81201100000000004</c:v>
                </c:pt>
                <c:pt idx="78">
                  <c:v>0.815446</c:v>
                </c:pt>
                <c:pt idx="79">
                  <c:v>0.83435999999999999</c:v>
                </c:pt>
                <c:pt idx="80">
                  <c:v>0.83646100000000001</c:v>
                </c:pt>
                <c:pt idx="81">
                  <c:v>0.83879400000000004</c:v>
                </c:pt>
                <c:pt idx="82">
                  <c:v>0.86641999999999997</c:v>
                </c:pt>
                <c:pt idx="83">
                  <c:v>0.86868400000000001</c:v>
                </c:pt>
                <c:pt idx="84">
                  <c:v>0.87372099999999997</c:v>
                </c:pt>
                <c:pt idx="85">
                  <c:v>0.88162399999999996</c:v>
                </c:pt>
                <c:pt idx="86">
                  <c:v>0.89539800000000003</c:v>
                </c:pt>
                <c:pt idx="87">
                  <c:v>0.90015000000000001</c:v>
                </c:pt>
                <c:pt idx="88">
                  <c:v>0.90792399999999995</c:v>
                </c:pt>
                <c:pt idx="89">
                  <c:v>0.93260600000000005</c:v>
                </c:pt>
                <c:pt idx="90">
                  <c:v>0.93273600000000001</c:v>
                </c:pt>
                <c:pt idx="91">
                  <c:v>0.93497399999999997</c:v>
                </c:pt>
                <c:pt idx="92">
                  <c:v>0.94092299999999995</c:v>
                </c:pt>
                <c:pt idx="93">
                  <c:v>0.95325899999999997</c:v>
                </c:pt>
                <c:pt idx="94">
                  <c:v>0.96228199999999997</c:v>
                </c:pt>
                <c:pt idx="95">
                  <c:v>0.97323199999999999</c:v>
                </c:pt>
                <c:pt idx="96">
                  <c:v>0.97668500000000003</c:v>
                </c:pt>
                <c:pt idx="97">
                  <c:v>0.98886600000000002</c:v>
                </c:pt>
                <c:pt idx="98">
                  <c:v>0.99808699999999995</c:v>
                </c:pt>
                <c:pt idx="99">
                  <c:v>0.99980000000000002</c:v>
                </c:pt>
                <c:pt idx="100">
                  <c:v>1.02308</c:v>
                </c:pt>
                <c:pt idx="101">
                  <c:v>1.0242500000000001</c:v>
                </c:pt>
                <c:pt idx="102">
                  <c:v>1.0328900000000001</c:v>
                </c:pt>
                <c:pt idx="103">
                  <c:v>1.05063</c:v>
                </c:pt>
                <c:pt idx="104">
                  <c:v>1.05647</c:v>
                </c:pt>
                <c:pt idx="105">
                  <c:v>1.0669200000000001</c:v>
                </c:pt>
                <c:pt idx="106">
                  <c:v>1.07738</c:v>
                </c:pt>
                <c:pt idx="107">
                  <c:v>1.09172</c:v>
                </c:pt>
                <c:pt idx="108">
                  <c:v>1.09477</c:v>
                </c:pt>
                <c:pt idx="109">
                  <c:v>1.1148199999999999</c:v>
                </c:pt>
                <c:pt idx="110">
                  <c:v>1.11528</c:v>
                </c:pt>
                <c:pt idx="111">
                  <c:v>1.13392</c:v>
                </c:pt>
                <c:pt idx="112">
                  <c:v>1.1386000000000001</c:v>
                </c:pt>
                <c:pt idx="113">
                  <c:v>1.15273</c:v>
                </c:pt>
                <c:pt idx="114">
                  <c:v>1.16191</c:v>
                </c:pt>
                <c:pt idx="115">
                  <c:v>1.17564</c:v>
                </c:pt>
                <c:pt idx="116">
                  <c:v>1.1819900000000001</c:v>
                </c:pt>
                <c:pt idx="117">
                  <c:v>1.1977</c:v>
                </c:pt>
                <c:pt idx="118">
                  <c:v>1.21147</c:v>
                </c:pt>
                <c:pt idx="119">
                  <c:v>1.22617</c:v>
                </c:pt>
                <c:pt idx="120">
                  <c:v>1.22794</c:v>
                </c:pt>
                <c:pt idx="121">
                  <c:v>1.2435799999999999</c:v>
                </c:pt>
                <c:pt idx="122">
                  <c:v>1.2445299999999999</c:v>
                </c:pt>
                <c:pt idx="123">
                  <c:v>1.2573099999999999</c:v>
                </c:pt>
                <c:pt idx="124">
                  <c:v>1.2629999999999999</c:v>
                </c:pt>
                <c:pt idx="125">
                  <c:v>1.2733000000000001</c:v>
                </c:pt>
                <c:pt idx="126">
                  <c:v>1.27565</c:v>
                </c:pt>
                <c:pt idx="127">
                  <c:v>1.29193</c:v>
                </c:pt>
                <c:pt idx="128">
                  <c:v>1.3009900000000001</c:v>
                </c:pt>
                <c:pt idx="129">
                  <c:v>1.3051699999999999</c:v>
                </c:pt>
                <c:pt idx="130">
                  <c:v>1.30565</c:v>
                </c:pt>
                <c:pt idx="131">
                  <c:v>1.3108500000000001</c:v>
                </c:pt>
                <c:pt idx="132">
                  <c:v>1.3208599999999999</c:v>
                </c:pt>
                <c:pt idx="133">
                  <c:v>1.3266500000000001</c:v>
                </c:pt>
                <c:pt idx="134">
                  <c:v>1.3338000000000001</c:v>
                </c:pt>
                <c:pt idx="135">
                  <c:v>1.3425400000000001</c:v>
                </c:pt>
                <c:pt idx="136">
                  <c:v>1.35019</c:v>
                </c:pt>
                <c:pt idx="137">
                  <c:v>1.36399</c:v>
                </c:pt>
                <c:pt idx="138">
                  <c:v>1.3769199999999999</c:v>
                </c:pt>
                <c:pt idx="139">
                  <c:v>1.38531</c:v>
                </c:pt>
                <c:pt idx="140">
                  <c:v>1.4088799999999999</c:v>
                </c:pt>
                <c:pt idx="141">
                  <c:v>1.4148400000000001</c:v>
                </c:pt>
                <c:pt idx="142">
                  <c:v>1.43086</c:v>
                </c:pt>
                <c:pt idx="143">
                  <c:v>1.43851</c:v>
                </c:pt>
                <c:pt idx="144">
                  <c:v>1.4604200000000001</c:v>
                </c:pt>
                <c:pt idx="145">
                  <c:v>1.4785999999999999</c:v>
                </c:pt>
                <c:pt idx="146">
                  <c:v>1.48434</c:v>
                </c:pt>
                <c:pt idx="147">
                  <c:v>1.51386</c:v>
                </c:pt>
                <c:pt idx="148">
                  <c:v>1.52979</c:v>
                </c:pt>
                <c:pt idx="149">
                  <c:v>1.53992</c:v>
                </c:pt>
                <c:pt idx="150">
                  <c:v>1.5513699999999999</c:v>
                </c:pt>
                <c:pt idx="151">
                  <c:v>1.5669599999999999</c:v>
                </c:pt>
                <c:pt idx="152">
                  <c:v>1.5782700000000001</c:v>
                </c:pt>
                <c:pt idx="153">
                  <c:v>1.58321</c:v>
                </c:pt>
                <c:pt idx="154">
                  <c:v>1.6047800000000001</c:v>
                </c:pt>
                <c:pt idx="155">
                  <c:v>1.6069500000000001</c:v>
                </c:pt>
                <c:pt idx="156">
                  <c:v>1.62378</c:v>
                </c:pt>
                <c:pt idx="157">
                  <c:v>1.6284700000000001</c:v>
                </c:pt>
                <c:pt idx="158">
                  <c:v>1.63696</c:v>
                </c:pt>
                <c:pt idx="159">
                  <c:v>1.6659900000000001</c:v>
                </c:pt>
                <c:pt idx="160">
                  <c:v>1.6690100000000001</c:v>
                </c:pt>
                <c:pt idx="161">
                  <c:v>1.69791</c:v>
                </c:pt>
                <c:pt idx="162">
                  <c:v>1.72539</c:v>
                </c:pt>
                <c:pt idx="163">
                  <c:v>1.7384500000000001</c:v>
                </c:pt>
                <c:pt idx="164">
                  <c:v>1.75163</c:v>
                </c:pt>
                <c:pt idx="165">
                  <c:v>1.7521899999999999</c:v>
                </c:pt>
                <c:pt idx="166">
                  <c:v>1.76806</c:v>
                </c:pt>
                <c:pt idx="167">
                  <c:v>1.7813000000000001</c:v>
                </c:pt>
                <c:pt idx="168">
                  <c:v>1.7890900000000001</c:v>
                </c:pt>
                <c:pt idx="169">
                  <c:v>1.8052699999999999</c:v>
                </c:pt>
                <c:pt idx="170">
                  <c:v>1.8238099999999999</c:v>
                </c:pt>
                <c:pt idx="171">
                  <c:v>1.8374699999999999</c:v>
                </c:pt>
                <c:pt idx="172">
                  <c:v>1.8586400000000001</c:v>
                </c:pt>
                <c:pt idx="173">
                  <c:v>1.87233</c:v>
                </c:pt>
                <c:pt idx="174">
                  <c:v>1.88513</c:v>
                </c:pt>
                <c:pt idx="175">
                  <c:v>1.90709</c:v>
                </c:pt>
                <c:pt idx="176">
                  <c:v>1.92567</c:v>
                </c:pt>
                <c:pt idx="177">
                  <c:v>1.95533</c:v>
                </c:pt>
                <c:pt idx="178">
                  <c:v>1.9710700000000001</c:v>
                </c:pt>
                <c:pt idx="179">
                  <c:v>1.9802599999999999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536-AD44-949A-A06A197047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3081183"/>
        <c:axId val="1"/>
      </c:scatterChart>
      <c:valAx>
        <c:axId val="1403081183"/>
        <c:scaling>
          <c:orientation val="minMax"/>
        </c:scaling>
        <c:delete val="0"/>
        <c:axPos val="t"/>
        <c:numFmt formatCode="0.00_ 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%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1"/>
        <c:crosses val="autoZero"/>
        <c:crossBetween val="midCat"/>
        <c:majorUnit val="2"/>
      </c:valAx>
      <c:valAx>
        <c:axId val="1"/>
        <c:scaling>
          <c:orientation val="maxMin"/>
        </c:scaling>
        <c:delete val="0"/>
        <c:axPos val="l"/>
        <c:numFmt formatCode="0.000_);[Red]\(0.000\)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%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1403081183"/>
        <c:crossesAt val="-12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</c:spPr>
  <c:txPr>
    <a:bodyPr/>
    <a:lstStyle/>
    <a:p>
      <a:pPr>
        <a:defRPr sz="1000" b="0" i="0" u="none" strike="noStrike" baseline="0%">
          <a:solidFill>
            <a:srgbClr val="000000"/>
          </a:solidFill>
          <a:latin typeface="宋体"/>
          <a:ea typeface="宋体"/>
          <a:cs typeface="宋体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3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6.8526638956549452E-2"/>
          <c:y val="7.4794506108423184E-2"/>
          <c:w val="0.90775881526787439"/>
          <c:h val="0.7530322251385243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4"/>
            <c:spPr>
              <a:solidFill>
                <a:srgbClr val="44546A"/>
              </a:solidFill>
              <a:ln w="9525">
                <a:noFill/>
              </a:ln>
              <a:effectLst/>
            </c:spPr>
          </c:marker>
          <c:xVal>
            <c:numRef>
              <c:f>'Sheet1 (2)'!$N$6:$N$227</c:f>
              <c:numCache>
                <c:formatCode>General</c:formatCode>
                <c:ptCount val="222"/>
                <c:pt idx="0">
                  <c:v>28.965500000000002</c:v>
                </c:pt>
                <c:pt idx="1">
                  <c:v>57.931000000000004</c:v>
                </c:pt>
                <c:pt idx="2">
                  <c:v>135.172</c:v>
                </c:pt>
                <c:pt idx="3">
                  <c:v>159.31</c:v>
                </c:pt>
                <c:pt idx="4">
                  <c:v>168.96600000000001</c:v>
                </c:pt>
                <c:pt idx="5">
                  <c:v>193.10300000000001</c:v>
                </c:pt>
                <c:pt idx="6">
                  <c:v>226.89699999999999</c:v>
                </c:pt>
                <c:pt idx="7">
                  <c:v>255.86199999999997</c:v>
                </c:pt>
                <c:pt idx="8">
                  <c:v>265.517</c:v>
                </c:pt>
                <c:pt idx="9">
                  <c:v>294.483</c:v>
                </c:pt>
                <c:pt idx="10">
                  <c:v>304.13800000000003</c:v>
                </c:pt>
                <c:pt idx="11">
                  <c:v>342.75899999999996</c:v>
                </c:pt>
                <c:pt idx="12">
                  <c:v>366.89699999999999</c:v>
                </c:pt>
                <c:pt idx="13">
                  <c:v>376.55200000000002</c:v>
                </c:pt>
                <c:pt idx="14">
                  <c:v>381.37900000000002</c:v>
                </c:pt>
                <c:pt idx="15">
                  <c:v>424.82799999999997</c:v>
                </c:pt>
                <c:pt idx="16">
                  <c:v>429.65500000000003</c:v>
                </c:pt>
                <c:pt idx="17">
                  <c:v>453.79300000000001</c:v>
                </c:pt>
                <c:pt idx="18">
                  <c:v>477.93099999999998</c:v>
                </c:pt>
                <c:pt idx="19">
                  <c:v>497.24099999999999</c:v>
                </c:pt>
                <c:pt idx="20">
                  <c:v>531.03399999999999</c:v>
                </c:pt>
                <c:pt idx="21">
                  <c:v>540.69000000000005</c:v>
                </c:pt>
                <c:pt idx="22">
                  <c:v>564.82799999999997</c:v>
                </c:pt>
                <c:pt idx="23">
                  <c:v>584.13800000000003</c:v>
                </c:pt>
                <c:pt idx="24">
                  <c:v>598.62099999999998</c:v>
                </c:pt>
                <c:pt idx="25">
                  <c:v>617.93100000000004</c:v>
                </c:pt>
                <c:pt idx="26">
                  <c:v>642.06899999999996</c:v>
                </c:pt>
                <c:pt idx="27">
                  <c:v>680.69</c:v>
                </c:pt>
                <c:pt idx="28">
                  <c:v>704.82799999999997</c:v>
                </c:pt>
                <c:pt idx="29">
                  <c:v>724.13799999999992</c:v>
                </c:pt>
                <c:pt idx="30">
                  <c:v>772.4140000000001</c:v>
                </c:pt>
                <c:pt idx="31">
                  <c:v>801.37899999999991</c:v>
                </c:pt>
                <c:pt idx="32">
                  <c:v>801.37899999999991</c:v>
                </c:pt>
                <c:pt idx="33">
                  <c:v>835.17200000000003</c:v>
                </c:pt>
                <c:pt idx="34">
                  <c:v>859.31000000000006</c:v>
                </c:pt>
                <c:pt idx="35">
                  <c:v>868.96600000000001</c:v>
                </c:pt>
                <c:pt idx="36">
                  <c:v>873.79300000000001</c:v>
                </c:pt>
                <c:pt idx="37">
                  <c:v>912.41399999999999</c:v>
                </c:pt>
                <c:pt idx="38">
                  <c:v>965.51699999999994</c:v>
                </c:pt>
                <c:pt idx="39">
                  <c:v>970.34500000000003</c:v>
                </c:pt>
                <c:pt idx="40">
                  <c:v>989.65499999999997</c:v>
                </c:pt>
                <c:pt idx="41">
                  <c:v>999.31000000000006</c:v>
                </c:pt>
                <c:pt idx="42">
                  <c:v>1033.0999999999999</c:v>
                </c:pt>
                <c:pt idx="43">
                  <c:v>1033.0999999999999</c:v>
                </c:pt>
                <c:pt idx="44">
                  <c:v>1062.0700000000002</c:v>
                </c:pt>
                <c:pt idx="45">
                  <c:v>1086.2099999999998</c:v>
                </c:pt>
                <c:pt idx="46">
                  <c:v>1100.69</c:v>
                </c:pt>
                <c:pt idx="47">
                  <c:v>1115.17</c:v>
                </c:pt>
                <c:pt idx="48">
                  <c:v>1134.48</c:v>
                </c:pt>
                <c:pt idx="49">
                  <c:v>1187.5899999999999</c:v>
                </c:pt>
                <c:pt idx="50">
                  <c:v>1211.7199999999998</c:v>
                </c:pt>
                <c:pt idx="51">
                  <c:v>1231.03</c:v>
                </c:pt>
                <c:pt idx="52">
                  <c:v>1260</c:v>
                </c:pt>
                <c:pt idx="53">
                  <c:v>1284.1400000000001</c:v>
                </c:pt>
                <c:pt idx="54">
                  <c:v>1327.5900000000001</c:v>
                </c:pt>
                <c:pt idx="55">
                  <c:v>1342.0700000000002</c:v>
                </c:pt>
                <c:pt idx="56">
                  <c:v>1361.38</c:v>
                </c:pt>
                <c:pt idx="57">
                  <c:v>1380.69</c:v>
                </c:pt>
                <c:pt idx="58">
                  <c:v>1414.48</c:v>
                </c:pt>
                <c:pt idx="59">
                  <c:v>1438.6200000000001</c:v>
                </c:pt>
                <c:pt idx="60">
                  <c:v>1477.24</c:v>
                </c:pt>
                <c:pt idx="61">
                  <c:v>1544.83</c:v>
                </c:pt>
                <c:pt idx="62">
                  <c:v>1617.24</c:v>
                </c:pt>
                <c:pt idx="63">
                  <c:v>1675.17</c:v>
                </c:pt>
                <c:pt idx="64">
                  <c:v>1713.79</c:v>
                </c:pt>
                <c:pt idx="65">
                  <c:v>1742.76</c:v>
                </c:pt>
                <c:pt idx="66">
                  <c:v>1786.21</c:v>
                </c:pt>
                <c:pt idx="67">
                  <c:v>1820</c:v>
                </c:pt>
                <c:pt idx="68">
                  <c:v>1877.93</c:v>
                </c:pt>
                <c:pt idx="69">
                  <c:v>1911.72</c:v>
                </c:pt>
                <c:pt idx="70">
                  <c:v>1926.21</c:v>
                </c:pt>
                <c:pt idx="71">
                  <c:v>1960</c:v>
                </c:pt>
                <c:pt idx="72">
                  <c:v>1984.14</c:v>
                </c:pt>
                <c:pt idx="73">
                  <c:v>2003.45</c:v>
                </c:pt>
                <c:pt idx="74">
                  <c:v>2075.86</c:v>
                </c:pt>
                <c:pt idx="75">
                  <c:v>2104.8300000000004</c:v>
                </c:pt>
                <c:pt idx="76">
                  <c:v>2128.9699999999998</c:v>
                </c:pt>
                <c:pt idx="77">
                  <c:v>2162.7600000000002</c:v>
                </c:pt>
                <c:pt idx="78">
                  <c:v>2206.21</c:v>
                </c:pt>
                <c:pt idx="79">
                  <c:v>2240</c:v>
                </c:pt>
                <c:pt idx="80">
                  <c:v>2264.14</c:v>
                </c:pt>
                <c:pt idx="81">
                  <c:v>2297.9299999999998</c:v>
                </c:pt>
                <c:pt idx="82">
                  <c:v>2317.2399999999998</c:v>
                </c:pt>
                <c:pt idx="83">
                  <c:v>2360.69</c:v>
                </c:pt>
                <c:pt idx="84">
                  <c:v>2384.83</c:v>
                </c:pt>
                <c:pt idx="85">
                  <c:v>2399.31</c:v>
                </c:pt>
                <c:pt idx="86">
                  <c:v>2418.6200000000003</c:v>
                </c:pt>
                <c:pt idx="87">
                  <c:v>2437.9300000000003</c:v>
                </c:pt>
                <c:pt idx="88">
                  <c:v>2462.0700000000002</c:v>
                </c:pt>
                <c:pt idx="89">
                  <c:v>2495.86</c:v>
                </c:pt>
                <c:pt idx="90">
                  <c:v>2515.17</c:v>
                </c:pt>
                <c:pt idx="91">
                  <c:v>2553.79</c:v>
                </c:pt>
                <c:pt idx="92">
                  <c:v>2587.59</c:v>
                </c:pt>
                <c:pt idx="93">
                  <c:v>2631.03</c:v>
                </c:pt>
                <c:pt idx="94">
                  <c:v>2650.34</c:v>
                </c:pt>
                <c:pt idx="95">
                  <c:v>2674.48</c:v>
                </c:pt>
                <c:pt idx="96">
                  <c:v>2698.62</c:v>
                </c:pt>
                <c:pt idx="97">
                  <c:v>2703.4500000000003</c:v>
                </c:pt>
                <c:pt idx="98">
                  <c:v>2737.24</c:v>
                </c:pt>
                <c:pt idx="99">
                  <c:v>2751.7200000000003</c:v>
                </c:pt>
                <c:pt idx="100">
                  <c:v>2766.21</c:v>
                </c:pt>
                <c:pt idx="101">
                  <c:v>2814.48</c:v>
                </c:pt>
                <c:pt idx="102">
                  <c:v>2848.2799999999997</c:v>
                </c:pt>
                <c:pt idx="103">
                  <c:v>2886.8999999999996</c:v>
                </c:pt>
                <c:pt idx="104">
                  <c:v>2915.8599999999997</c:v>
                </c:pt>
                <c:pt idx="105">
                  <c:v>2944.83</c:v>
                </c:pt>
                <c:pt idx="106">
                  <c:v>2968.9700000000003</c:v>
                </c:pt>
                <c:pt idx="107">
                  <c:v>2997.9300000000003</c:v>
                </c:pt>
                <c:pt idx="108">
                  <c:v>3017.2400000000002</c:v>
                </c:pt>
                <c:pt idx="109">
                  <c:v>3046.21</c:v>
                </c:pt>
                <c:pt idx="110">
                  <c:v>3051.0299999999997</c:v>
                </c:pt>
                <c:pt idx="111">
                  <c:v>3060.69</c:v>
                </c:pt>
                <c:pt idx="112">
                  <c:v>3075.17</c:v>
                </c:pt>
                <c:pt idx="113">
                  <c:v>3108.97</c:v>
                </c:pt>
                <c:pt idx="114">
                  <c:v>3128.28</c:v>
                </c:pt>
                <c:pt idx="115">
                  <c:v>3133.1000000000004</c:v>
                </c:pt>
                <c:pt idx="116">
                  <c:v>3162.0699999999997</c:v>
                </c:pt>
                <c:pt idx="117">
                  <c:v>3210.34</c:v>
                </c:pt>
                <c:pt idx="118">
                  <c:v>3220</c:v>
                </c:pt>
                <c:pt idx="119">
                  <c:v>3248.97</c:v>
                </c:pt>
                <c:pt idx="120">
                  <c:v>3282.76</c:v>
                </c:pt>
                <c:pt idx="121">
                  <c:v>3311.7200000000003</c:v>
                </c:pt>
                <c:pt idx="122">
                  <c:v>3364.83</c:v>
                </c:pt>
                <c:pt idx="123">
                  <c:v>3364.83</c:v>
                </c:pt>
                <c:pt idx="124">
                  <c:v>3384.14</c:v>
                </c:pt>
                <c:pt idx="125">
                  <c:v>3393.79</c:v>
                </c:pt>
                <c:pt idx="126">
                  <c:v>3413.1</c:v>
                </c:pt>
                <c:pt idx="127">
                  <c:v>3442.07</c:v>
                </c:pt>
                <c:pt idx="128">
                  <c:v>3495.17</c:v>
                </c:pt>
                <c:pt idx="129">
                  <c:v>3495.17</c:v>
                </c:pt>
                <c:pt idx="130">
                  <c:v>3528.9700000000003</c:v>
                </c:pt>
                <c:pt idx="131">
                  <c:v>3562.7599999999998</c:v>
                </c:pt>
                <c:pt idx="132">
                  <c:v>3586.9</c:v>
                </c:pt>
                <c:pt idx="133">
                  <c:v>3601.3799999999997</c:v>
                </c:pt>
                <c:pt idx="134">
                  <c:v>3630.3399999999997</c:v>
                </c:pt>
                <c:pt idx="135">
                  <c:v>3678.62</c:v>
                </c:pt>
                <c:pt idx="136">
                  <c:v>3707.59</c:v>
                </c:pt>
                <c:pt idx="137">
                  <c:v>3731.7200000000003</c:v>
                </c:pt>
                <c:pt idx="138">
                  <c:v>3765.52</c:v>
                </c:pt>
                <c:pt idx="139">
                  <c:v>3789.66</c:v>
                </c:pt>
                <c:pt idx="140">
                  <c:v>3813.79</c:v>
                </c:pt>
                <c:pt idx="141">
                  <c:v>3842.76</c:v>
                </c:pt>
                <c:pt idx="142">
                  <c:v>3866.8999999999996</c:v>
                </c:pt>
                <c:pt idx="143">
                  <c:v>3900.69</c:v>
                </c:pt>
                <c:pt idx="144">
                  <c:v>3924.83</c:v>
                </c:pt>
                <c:pt idx="145">
                  <c:v>3948.9700000000003</c:v>
                </c:pt>
                <c:pt idx="146">
                  <c:v>3963.45</c:v>
                </c:pt>
                <c:pt idx="147">
                  <c:v>4016.5499999999997</c:v>
                </c:pt>
                <c:pt idx="148">
                  <c:v>4088.97</c:v>
                </c:pt>
                <c:pt idx="149">
                  <c:v>4098.6200000000008</c:v>
                </c:pt>
                <c:pt idx="150">
                  <c:v>4127.5899999999992</c:v>
                </c:pt>
                <c:pt idx="151">
                  <c:v>4200</c:v>
                </c:pt>
                <c:pt idx="152">
                  <c:v>4248.2800000000007</c:v>
                </c:pt>
                <c:pt idx="153">
                  <c:v>4277.24</c:v>
                </c:pt>
                <c:pt idx="154">
                  <c:v>4325.5200000000004</c:v>
                </c:pt>
                <c:pt idx="155">
                  <c:v>4354.4799999999996</c:v>
                </c:pt>
                <c:pt idx="156">
                  <c:v>4475.17</c:v>
                </c:pt>
                <c:pt idx="157">
                  <c:v>4513.79</c:v>
                </c:pt>
                <c:pt idx="158">
                  <c:v>4552.41</c:v>
                </c:pt>
                <c:pt idx="159">
                  <c:v>4595.8599999999997</c:v>
                </c:pt>
                <c:pt idx="160">
                  <c:v>4658.62</c:v>
                </c:pt>
                <c:pt idx="161">
                  <c:v>4726.21</c:v>
                </c:pt>
                <c:pt idx="162">
                  <c:v>4764.83</c:v>
                </c:pt>
                <c:pt idx="163">
                  <c:v>4798.62</c:v>
                </c:pt>
                <c:pt idx="164">
                  <c:v>4813.1000000000004</c:v>
                </c:pt>
                <c:pt idx="165">
                  <c:v>4885.5199999999995</c:v>
                </c:pt>
                <c:pt idx="166">
                  <c:v>4948.28</c:v>
                </c:pt>
                <c:pt idx="167">
                  <c:v>4977.24</c:v>
                </c:pt>
                <c:pt idx="168">
                  <c:v>5015.8599999999997</c:v>
                </c:pt>
                <c:pt idx="169">
                  <c:v>5044.83</c:v>
                </c:pt>
                <c:pt idx="170">
                  <c:v>5078.62</c:v>
                </c:pt>
                <c:pt idx="171">
                  <c:v>5151.0300000000007</c:v>
                </c:pt>
                <c:pt idx="172">
                  <c:v>5165.5199999999995</c:v>
                </c:pt>
                <c:pt idx="173">
                  <c:v>5213.79</c:v>
                </c:pt>
                <c:pt idx="174">
                  <c:v>5295.8600000000006</c:v>
                </c:pt>
                <c:pt idx="175">
                  <c:v>5324.8300000000008</c:v>
                </c:pt>
                <c:pt idx="176">
                  <c:v>5344.14</c:v>
                </c:pt>
                <c:pt idx="177">
                  <c:v>5363.4500000000007</c:v>
                </c:pt>
                <c:pt idx="178">
                  <c:v>5392.41</c:v>
                </c:pt>
                <c:pt idx="179">
                  <c:v>5411.72</c:v>
                </c:pt>
                <c:pt idx="180">
                  <c:v>5450.34</c:v>
                </c:pt>
                <c:pt idx="181">
                  <c:v>5464.83</c:v>
                </c:pt>
                <c:pt idx="182">
                  <c:v>5484.14</c:v>
                </c:pt>
                <c:pt idx="183">
                  <c:v>5522.76</c:v>
                </c:pt>
                <c:pt idx="184">
                  <c:v>5566.21</c:v>
                </c:pt>
                <c:pt idx="185">
                  <c:v>5575.86</c:v>
                </c:pt>
                <c:pt idx="186">
                  <c:v>5595.17</c:v>
                </c:pt>
                <c:pt idx="187">
                  <c:v>5609.66</c:v>
                </c:pt>
                <c:pt idx="188">
                  <c:v>5662.7599999999993</c:v>
                </c:pt>
                <c:pt idx="189">
                  <c:v>5725.52</c:v>
                </c:pt>
                <c:pt idx="190">
                  <c:v>5797.93</c:v>
                </c:pt>
                <c:pt idx="191">
                  <c:v>5855.86</c:v>
                </c:pt>
                <c:pt idx="192">
                  <c:v>5870.3399999999992</c:v>
                </c:pt>
                <c:pt idx="193">
                  <c:v>5923.45</c:v>
                </c:pt>
                <c:pt idx="194">
                  <c:v>5957.24</c:v>
                </c:pt>
                <c:pt idx="195">
                  <c:v>5981.38</c:v>
                </c:pt>
                <c:pt idx="196">
                  <c:v>6005.5199999999995</c:v>
                </c:pt>
                <c:pt idx="197">
                  <c:v>6058.62</c:v>
                </c:pt>
                <c:pt idx="198">
                  <c:v>6082.76</c:v>
                </c:pt>
                <c:pt idx="199">
                  <c:v>6135.86</c:v>
                </c:pt>
                <c:pt idx="200">
                  <c:v>6184.14</c:v>
                </c:pt>
                <c:pt idx="201">
                  <c:v>6213.0999999999995</c:v>
                </c:pt>
                <c:pt idx="202">
                  <c:v>6251.7199999999993</c:v>
                </c:pt>
                <c:pt idx="203">
                  <c:v>6271.03</c:v>
                </c:pt>
                <c:pt idx="204">
                  <c:v>6328.97</c:v>
                </c:pt>
                <c:pt idx="205">
                  <c:v>6353.1</c:v>
                </c:pt>
                <c:pt idx="206">
                  <c:v>6444.83</c:v>
                </c:pt>
                <c:pt idx="207">
                  <c:v>6522.0700000000006</c:v>
                </c:pt>
                <c:pt idx="208">
                  <c:v>6560.6900000000005</c:v>
                </c:pt>
                <c:pt idx="209">
                  <c:v>6584.83</c:v>
                </c:pt>
                <c:pt idx="210">
                  <c:v>6604.14</c:v>
                </c:pt>
                <c:pt idx="211">
                  <c:v>6637.93</c:v>
                </c:pt>
                <c:pt idx="212">
                  <c:v>6671.7199999999993</c:v>
                </c:pt>
                <c:pt idx="213">
                  <c:v>6686.21</c:v>
                </c:pt>
                <c:pt idx="214">
                  <c:v>6715.17</c:v>
                </c:pt>
                <c:pt idx="215">
                  <c:v>6729.66</c:v>
                </c:pt>
                <c:pt idx="216">
                  <c:v>6758.62</c:v>
                </c:pt>
                <c:pt idx="217">
                  <c:v>6811.72</c:v>
                </c:pt>
                <c:pt idx="218">
                  <c:v>6831.03</c:v>
                </c:pt>
                <c:pt idx="219">
                  <c:v>6864.8300000000008</c:v>
                </c:pt>
                <c:pt idx="220">
                  <c:v>6922.76</c:v>
                </c:pt>
                <c:pt idx="221">
                  <c:v>6961.38</c:v>
                </c:pt>
              </c:numCache>
            </c:numRef>
          </c:xVal>
          <c:yVal>
            <c:numRef>
              <c:f>'Sheet1 (2)'!$L$6:$L$227</c:f>
              <c:numCache>
                <c:formatCode>0.00_ </c:formatCode>
                <c:ptCount val="222"/>
                <c:pt idx="0">
                  <c:v>-7.0108899999999998</c:v>
                </c:pt>
                <c:pt idx="1">
                  <c:v>-8.1767599999999998</c:v>
                </c:pt>
                <c:pt idx="2">
                  <c:v>-6.2131699999999999</c:v>
                </c:pt>
                <c:pt idx="3">
                  <c:v>-7.5266700000000002</c:v>
                </c:pt>
                <c:pt idx="4">
                  <c:v>-7.8070500000000003</c:v>
                </c:pt>
                <c:pt idx="5">
                  <c:v>-7.0688899999999997</c:v>
                </c:pt>
                <c:pt idx="6">
                  <c:v>-7.7771600000000003</c:v>
                </c:pt>
                <c:pt idx="7">
                  <c:v>-4.8692299999999999</c:v>
                </c:pt>
                <c:pt idx="8">
                  <c:v>-7.31935</c:v>
                </c:pt>
                <c:pt idx="9">
                  <c:v>-6.4630799999999997</c:v>
                </c:pt>
                <c:pt idx="10">
                  <c:v>-7.0829500000000003</c:v>
                </c:pt>
                <c:pt idx="11">
                  <c:v>-6.1528099999999997</c:v>
                </c:pt>
                <c:pt idx="12">
                  <c:v>-5.1932499999999999</c:v>
                </c:pt>
                <c:pt idx="13">
                  <c:v>-6.4478</c:v>
                </c:pt>
                <c:pt idx="14">
                  <c:v>-7.7023799999999998</c:v>
                </c:pt>
                <c:pt idx="15">
                  <c:v>-5.5028499999999996</c:v>
                </c:pt>
                <c:pt idx="16">
                  <c:v>-8.1596399999999996</c:v>
                </c:pt>
                <c:pt idx="17">
                  <c:v>-6.31447</c:v>
                </c:pt>
                <c:pt idx="18">
                  <c:v>-7.9379400000000002</c:v>
                </c:pt>
                <c:pt idx="19">
                  <c:v>-8.0706600000000002</c:v>
                </c:pt>
                <c:pt idx="20">
                  <c:v>-6.7863100000000003</c:v>
                </c:pt>
                <c:pt idx="21">
                  <c:v>-8.3950999999999993</c:v>
                </c:pt>
                <c:pt idx="22">
                  <c:v>-7.1698599999999999</c:v>
                </c:pt>
                <c:pt idx="23">
                  <c:v>-8.3948300000000007</c:v>
                </c:pt>
                <c:pt idx="24">
                  <c:v>-5.9593100000000003</c:v>
                </c:pt>
                <c:pt idx="25">
                  <c:v>-6.9333600000000004</c:v>
                </c:pt>
                <c:pt idx="26">
                  <c:v>-7.1250900000000001</c:v>
                </c:pt>
                <c:pt idx="27">
                  <c:v>-8.7337000000000007</c:v>
                </c:pt>
                <c:pt idx="28">
                  <c:v>-8.3202599999999993</c:v>
                </c:pt>
                <c:pt idx="29">
                  <c:v>-8.7481899999999992</c:v>
                </c:pt>
                <c:pt idx="30">
                  <c:v>-8.6297999999999995</c:v>
                </c:pt>
                <c:pt idx="31">
                  <c:v>-8.8362599999999993</c:v>
                </c:pt>
                <c:pt idx="32">
                  <c:v>-7.1093200000000003</c:v>
                </c:pt>
                <c:pt idx="33">
                  <c:v>-8.4079999999999995</c:v>
                </c:pt>
                <c:pt idx="34">
                  <c:v>-7.5369999999999999</c:v>
                </c:pt>
                <c:pt idx="35">
                  <c:v>-6.9170100000000003</c:v>
                </c:pt>
                <c:pt idx="36">
                  <c:v>-8.6586800000000004</c:v>
                </c:pt>
                <c:pt idx="37">
                  <c:v>-8.7469999999999999</c:v>
                </c:pt>
                <c:pt idx="38">
                  <c:v>-7.6396499999999996</c:v>
                </c:pt>
                <c:pt idx="39">
                  <c:v>-8.5842700000000001</c:v>
                </c:pt>
                <c:pt idx="40">
                  <c:v>-8.0527800000000003</c:v>
                </c:pt>
                <c:pt idx="41">
                  <c:v>-8.2150800000000004</c:v>
                </c:pt>
                <c:pt idx="42">
                  <c:v>-8.0525099999999998</c:v>
                </c:pt>
                <c:pt idx="43">
                  <c:v>-7.28498</c:v>
                </c:pt>
                <c:pt idx="44">
                  <c:v>-6.8272300000000001</c:v>
                </c:pt>
                <c:pt idx="45">
                  <c:v>-6.5318699999999996</c:v>
                </c:pt>
                <c:pt idx="46">
                  <c:v>-7.3583499999999997</c:v>
                </c:pt>
                <c:pt idx="47">
                  <c:v>-7.4911000000000003</c:v>
                </c:pt>
                <c:pt idx="48">
                  <c:v>-6.7382099999999996</c:v>
                </c:pt>
                <c:pt idx="49">
                  <c:v>-7.2397200000000002</c:v>
                </c:pt>
                <c:pt idx="50">
                  <c:v>-6.44252</c:v>
                </c:pt>
                <c:pt idx="51">
                  <c:v>-7.6970099999999997</c:v>
                </c:pt>
                <c:pt idx="52">
                  <c:v>-7.5197000000000003</c:v>
                </c:pt>
                <c:pt idx="53">
                  <c:v>-8.5527599999999993</c:v>
                </c:pt>
                <c:pt idx="54">
                  <c:v>-8.3901299999999992</c:v>
                </c:pt>
                <c:pt idx="55">
                  <c:v>-7.97675</c:v>
                </c:pt>
                <c:pt idx="56">
                  <c:v>-8.0947099999999992</c:v>
                </c:pt>
                <c:pt idx="57">
                  <c:v>-8.80307</c:v>
                </c:pt>
                <c:pt idx="58">
                  <c:v>-8.1681699999999999</c:v>
                </c:pt>
                <c:pt idx="59">
                  <c:v>-8.4927399999999995</c:v>
                </c:pt>
                <c:pt idx="60">
                  <c:v>-7.7840100000000003</c:v>
                </c:pt>
                <c:pt idx="61">
                  <c:v>-8.7577599999999993</c:v>
                </c:pt>
                <c:pt idx="62">
                  <c:v>-8.74254</c:v>
                </c:pt>
                <c:pt idx="63">
                  <c:v>-7.7679999999999998</c:v>
                </c:pt>
                <c:pt idx="64">
                  <c:v>-7.6644399999999999</c:v>
                </c:pt>
                <c:pt idx="65">
                  <c:v>-8.7712599999999998</c:v>
                </c:pt>
                <c:pt idx="66">
                  <c:v>-7.7968200000000003</c:v>
                </c:pt>
                <c:pt idx="67">
                  <c:v>-8.62317</c:v>
                </c:pt>
                <c:pt idx="68">
                  <c:v>-8.1061999999999994</c:v>
                </c:pt>
                <c:pt idx="69">
                  <c:v>-8.3273899999999994</c:v>
                </c:pt>
                <c:pt idx="70">
                  <c:v>-8.68154</c:v>
                </c:pt>
                <c:pt idx="71">
                  <c:v>-8.7403700000000004</c:v>
                </c:pt>
                <c:pt idx="72">
                  <c:v>-7.3380000000000001</c:v>
                </c:pt>
                <c:pt idx="73">
                  <c:v>-8.3858499999999996</c:v>
                </c:pt>
                <c:pt idx="74">
                  <c:v>-8.0901899999999998</c:v>
                </c:pt>
                <c:pt idx="75">
                  <c:v>-7.6619599999999997</c:v>
                </c:pt>
                <c:pt idx="76">
                  <c:v>-8.0308100000000007</c:v>
                </c:pt>
                <c:pt idx="77">
                  <c:v>-6.8793100000000003</c:v>
                </c:pt>
                <c:pt idx="78">
                  <c:v>-7.6908399999999997</c:v>
                </c:pt>
                <c:pt idx="79">
                  <c:v>-7.1149800000000001</c:v>
                </c:pt>
                <c:pt idx="80">
                  <c:v>-6.53918</c:v>
                </c:pt>
                <c:pt idx="81">
                  <c:v>-7.0112899999999998</c:v>
                </c:pt>
                <c:pt idx="82">
                  <c:v>-7.51302</c:v>
                </c:pt>
                <c:pt idx="83">
                  <c:v>-7.4094199999999999</c:v>
                </c:pt>
                <c:pt idx="84">
                  <c:v>-8.1472800000000003</c:v>
                </c:pt>
                <c:pt idx="85">
                  <c:v>-6.33169</c:v>
                </c:pt>
                <c:pt idx="86">
                  <c:v>-7.1876499999999997</c:v>
                </c:pt>
                <c:pt idx="87">
                  <c:v>-7.7188999999999997</c:v>
                </c:pt>
                <c:pt idx="88">
                  <c:v>-6.2722499999999997</c:v>
                </c:pt>
                <c:pt idx="89">
                  <c:v>-5.81447</c:v>
                </c:pt>
                <c:pt idx="90">
                  <c:v>-7.0837199999999996</c:v>
                </c:pt>
                <c:pt idx="91">
                  <c:v>-7.2163199999999996</c:v>
                </c:pt>
                <c:pt idx="92">
                  <c:v>-5.9172099999999999</c:v>
                </c:pt>
                <c:pt idx="93">
                  <c:v>-6.7287400000000002</c:v>
                </c:pt>
                <c:pt idx="94">
                  <c:v>-5.9906100000000002</c:v>
                </c:pt>
                <c:pt idx="95">
                  <c:v>-5.5624200000000004</c:v>
                </c:pt>
                <c:pt idx="96">
                  <c:v>-7.4072800000000001</c:v>
                </c:pt>
                <c:pt idx="97">
                  <c:v>-4.8685099999999997</c:v>
                </c:pt>
                <c:pt idx="98">
                  <c:v>-3.7170000000000001</c:v>
                </c:pt>
                <c:pt idx="99">
                  <c:v>-5.2962499999999997</c:v>
                </c:pt>
                <c:pt idx="100">
                  <c:v>-6.2850799999999998</c:v>
                </c:pt>
                <c:pt idx="101">
                  <c:v>-6.4028600000000004</c:v>
                </c:pt>
                <c:pt idx="102">
                  <c:v>-3.53918</c:v>
                </c:pt>
                <c:pt idx="103">
                  <c:v>-6.5352399999999999</c:v>
                </c:pt>
                <c:pt idx="104">
                  <c:v>-4.0701200000000002</c:v>
                </c:pt>
                <c:pt idx="105">
                  <c:v>-5.8559099999999997</c:v>
                </c:pt>
                <c:pt idx="106">
                  <c:v>-6.1804800000000002</c:v>
                </c:pt>
                <c:pt idx="107">
                  <c:v>-5.4422899999999998</c:v>
                </c:pt>
                <c:pt idx="108">
                  <c:v>-6.29826</c:v>
                </c:pt>
                <c:pt idx="109">
                  <c:v>-5.6043500000000002</c:v>
                </c:pt>
                <c:pt idx="110">
                  <c:v>-7.5674200000000003</c:v>
                </c:pt>
                <c:pt idx="111">
                  <c:v>-5.3533299999999997</c:v>
                </c:pt>
                <c:pt idx="112">
                  <c:v>-7.12446</c:v>
                </c:pt>
                <c:pt idx="113">
                  <c:v>-5.5449099999999998</c:v>
                </c:pt>
                <c:pt idx="114">
                  <c:v>-6.1647100000000004</c:v>
                </c:pt>
                <c:pt idx="115">
                  <c:v>-6.6960499999999996</c:v>
                </c:pt>
                <c:pt idx="116">
                  <c:v>-6.54826</c:v>
                </c:pt>
                <c:pt idx="117">
                  <c:v>-6.9021999999999997</c:v>
                </c:pt>
                <c:pt idx="118">
                  <c:v>-6.6659800000000002</c:v>
                </c:pt>
                <c:pt idx="119">
                  <c:v>-7.96469</c:v>
                </c:pt>
                <c:pt idx="120">
                  <c:v>-5.8685299999999998</c:v>
                </c:pt>
                <c:pt idx="121">
                  <c:v>-6.3406700000000003</c:v>
                </c:pt>
                <c:pt idx="122">
                  <c:v>-6.9307400000000001</c:v>
                </c:pt>
                <c:pt idx="123">
                  <c:v>-6.4731800000000002</c:v>
                </c:pt>
                <c:pt idx="124">
                  <c:v>-5.7940899999999997</c:v>
                </c:pt>
                <c:pt idx="125">
                  <c:v>-6.7091599999999998</c:v>
                </c:pt>
                <c:pt idx="126">
                  <c:v>-6.0448300000000001</c:v>
                </c:pt>
                <c:pt idx="127">
                  <c:v>-6.3398500000000002</c:v>
                </c:pt>
                <c:pt idx="128">
                  <c:v>-5.8081500000000004</c:v>
                </c:pt>
                <c:pt idx="129">
                  <c:v>-6.7380399999999998</c:v>
                </c:pt>
                <c:pt idx="130">
                  <c:v>-6.1031399999999998</c:v>
                </c:pt>
                <c:pt idx="131">
                  <c:v>-6.6490499999999999</c:v>
                </c:pt>
                <c:pt idx="132">
                  <c:v>-6.0289700000000002</c:v>
                </c:pt>
                <c:pt idx="133">
                  <c:v>-6.6930899999999998</c:v>
                </c:pt>
                <c:pt idx="134">
                  <c:v>-6.6191000000000004</c:v>
                </c:pt>
                <c:pt idx="135">
                  <c:v>-6.8106799999999996</c:v>
                </c:pt>
                <c:pt idx="136">
                  <c:v>-6.0282099999999996</c:v>
                </c:pt>
                <c:pt idx="137">
                  <c:v>-6.8103400000000001</c:v>
                </c:pt>
                <c:pt idx="138">
                  <c:v>-6.7510899999999996</c:v>
                </c:pt>
                <c:pt idx="139">
                  <c:v>-6.8985399999999997</c:v>
                </c:pt>
                <c:pt idx="140">
                  <c:v>-6.6622199999999996</c:v>
                </c:pt>
                <c:pt idx="141">
                  <c:v>-7.0900800000000004</c:v>
                </c:pt>
                <c:pt idx="142">
                  <c:v>-6.8685299999999998</c:v>
                </c:pt>
                <c:pt idx="143">
                  <c:v>-7.1635200000000001</c:v>
                </c:pt>
                <c:pt idx="144">
                  <c:v>-6.7500799999999996</c:v>
                </c:pt>
                <c:pt idx="145">
                  <c:v>-6.9565700000000001</c:v>
                </c:pt>
                <c:pt idx="146">
                  <c:v>-6.4693899999999998</c:v>
                </c:pt>
                <c:pt idx="147">
                  <c:v>-7.6203500000000002</c:v>
                </c:pt>
                <c:pt idx="148">
                  <c:v>-7.2951699999999997</c:v>
                </c:pt>
                <c:pt idx="149">
                  <c:v>-7.1327400000000001</c:v>
                </c:pt>
                <c:pt idx="150">
                  <c:v>-7.5901300000000003</c:v>
                </c:pt>
                <c:pt idx="151">
                  <c:v>-7.2058999999999997</c:v>
                </c:pt>
                <c:pt idx="152">
                  <c:v>-7.5450799999999996</c:v>
                </c:pt>
                <c:pt idx="153">
                  <c:v>-7.3087400000000002</c:v>
                </c:pt>
                <c:pt idx="154">
                  <c:v>-7.4265100000000004</c:v>
                </c:pt>
                <c:pt idx="155">
                  <c:v>-7.9134099999999998</c:v>
                </c:pt>
                <c:pt idx="156">
                  <c:v>-8.0897699999999997</c:v>
                </c:pt>
                <c:pt idx="157">
                  <c:v>-8.0157299999999996</c:v>
                </c:pt>
                <c:pt idx="158">
                  <c:v>-8.5173299999999994</c:v>
                </c:pt>
                <c:pt idx="159">
                  <c:v>-8.0152099999999997</c:v>
                </c:pt>
                <c:pt idx="160">
                  <c:v>-7.98529</c:v>
                </c:pt>
                <c:pt idx="161">
                  <c:v>-8.30959</c:v>
                </c:pt>
                <c:pt idx="162">
                  <c:v>-8.2502999999999993</c:v>
                </c:pt>
                <c:pt idx="163">
                  <c:v>-7.9401200000000003</c:v>
                </c:pt>
                <c:pt idx="164">
                  <c:v>-8.1614400000000007</c:v>
                </c:pt>
                <c:pt idx="165">
                  <c:v>-7.7624500000000003</c:v>
                </c:pt>
                <c:pt idx="166">
                  <c:v>-8.6771899999999995</c:v>
                </c:pt>
                <c:pt idx="167">
                  <c:v>-8.1899200000000008</c:v>
                </c:pt>
                <c:pt idx="168">
                  <c:v>-7.8944700000000001</c:v>
                </c:pt>
                <c:pt idx="169">
                  <c:v>-8.3075700000000001</c:v>
                </c:pt>
                <c:pt idx="170">
                  <c:v>-7.8202699999999998</c:v>
                </c:pt>
                <c:pt idx="171">
                  <c:v>-8.1740600000000008</c:v>
                </c:pt>
                <c:pt idx="172">
                  <c:v>-8.3510899999999992</c:v>
                </c:pt>
                <c:pt idx="173">
                  <c:v>-8.0998599999999996</c:v>
                </c:pt>
                <c:pt idx="174">
                  <c:v>-8.4388199999999998</c:v>
                </c:pt>
                <c:pt idx="175">
                  <c:v>-8.4534000000000002</c:v>
                </c:pt>
                <c:pt idx="176">
                  <c:v>-8.6303999999999998</c:v>
                </c:pt>
                <c:pt idx="177">
                  <c:v>-8.2169899999999991</c:v>
                </c:pt>
                <c:pt idx="178">
                  <c:v>-8.1134900000000005</c:v>
                </c:pt>
                <c:pt idx="179">
                  <c:v>-8.5856899999999996</c:v>
                </c:pt>
                <c:pt idx="180">
                  <c:v>-8.5264100000000003</c:v>
                </c:pt>
                <c:pt idx="181">
                  <c:v>-8.7181999999999995</c:v>
                </c:pt>
                <c:pt idx="182">
                  <c:v>-8.3785900000000009</c:v>
                </c:pt>
                <c:pt idx="183">
                  <c:v>-8.5407100000000007</c:v>
                </c:pt>
                <c:pt idx="184">
                  <c:v>-8.2157099999999996</c:v>
                </c:pt>
                <c:pt idx="185">
                  <c:v>-8.4665700000000008</c:v>
                </c:pt>
                <c:pt idx="186">
                  <c:v>-7.9646100000000004</c:v>
                </c:pt>
                <c:pt idx="187">
                  <c:v>-8.1711600000000004</c:v>
                </c:pt>
                <c:pt idx="188">
                  <c:v>-7.5804099999999996</c:v>
                </c:pt>
                <c:pt idx="189">
                  <c:v>-7.8899800000000004</c:v>
                </c:pt>
                <c:pt idx="190">
                  <c:v>-7.7271599999999996</c:v>
                </c:pt>
                <c:pt idx="191">
                  <c:v>-7.8596399999999997</c:v>
                </c:pt>
                <c:pt idx="192">
                  <c:v>-7.7857399999999997</c:v>
                </c:pt>
                <c:pt idx="193">
                  <c:v>-7.9625300000000001</c:v>
                </c:pt>
                <c:pt idx="194">
                  <c:v>-7.9032799999999996</c:v>
                </c:pt>
                <c:pt idx="195">
                  <c:v>-8.0654800000000009</c:v>
                </c:pt>
                <c:pt idx="196">
                  <c:v>-7.9177299999999997</c:v>
                </c:pt>
                <c:pt idx="197">
                  <c:v>-7.7993100000000002</c:v>
                </c:pt>
                <c:pt idx="198">
                  <c:v>-7.9910399999999999</c:v>
                </c:pt>
                <c:pt idx="199">
                  <c:v>-7.81358</c:v>
                </c:pt>
                <c:pt idx="200">
                  <c:v>-8.1084800000000001</c:v>
                </c:pt>
                <c:pt idx="201">
                  <c:v>-7.9016599999999997</c:v>
                </c:pt>
                <c:pt idx="202">
                  <c:v>-8.1523299999999992</c:v>
                </c:pt>
                <c:pt idx="203">
                  <c:v>-7.9603299999999999</c:v>
                </c:pt>
                <c:pt idx="204">
                  <c:v>-7.9009200000000002</c:v>
                </c:pt>
                <c:pt idx="205">
                  <c:v>-8.5354600000000005</c:v>
                </c:pt>
                <c:pt idx="206">
                  <c:v>-8.1806300000000007</c:v>
                </c:pt>
                <c:pt idx="207">
                  <c:v>-8.4605899999999998</c:v>
                </c:pt>
                <c:pt idx="208">
                  <c:v>-8.2537000000000003</c:v>
                </c:pt>
                <c:pt idx="209">
                  <c:v>-8.4601900000000008</c:v>
                </c:pt>
                <c:pt idx="210">
                  <c:v>-8.3124699999999994</c:v>
                </c:pt>
                <c:pt idx="211">
                  <c:v>-8.7845800000000001</c:v>
                </c:pt>
                <c:pt idx="212">
                  <c:v>-8.6958000000000002</c:v>
                </c:pt>
                <c:pt idx="213">
                  <c:v>-8.0757899999999996</c:v>
                </c:pt>
                <c:pt idx="214">
                  <c:v>-8.0165600000000001</c:v>
                </c:pt>
                <c:pt idx="215">
                  <c:v>-7.7212699999999996</c:v>
                </c:pt>
                <c:pt idx="216">
                  <c:v>-8.2819699999999994</c:v>
                </c:pt>
                <c:pt idx="217">
                  <c:v>-8.3554300000000001</c:v>
                </c:pt>
                <c:pt idx="218">
                  <c:v>-7.0416600000000003</c:v>
                </c:pt>
                <c:pt idx="219">
                  <c:v>-6.7610000000000001</c:v>
                </c:pt>
                <c:pt idx="220">
                  <c:v>-7.9119299999999999</c:v>
                </c:pt>
                <c:pt idx="221">
                  <c:v>-7.5721999999999996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EF6-DB40-A06D-46C87B1F32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6913952"/>
        <c:axId val="1036463248"/>
      </c:scatterChart>
      <c:valAx>
        <c:axId val="1036913952"/>
        <c:scaling>
          <c:orientation val="minMax"/>
          <c:max val="6500"/>
          <c:min val="2500"/>
        </c:scaling>
        <c:delete val="0"/>
        <c:axPos val="t"/>
        <c:numFmt formatCode="General" sourceLinked="1"/>
        <c:majorTickMark val="out"/>
        <c:minorTickMark val="in"/>
        <c:tickLblPos val="high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%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36463248"/>
        <c:crosses val="autoZero"/>
        <c:crossBetween val="midCat"/>
      </c:valAx>
      <c:valAx>
        <c:axId val="1036463248"/>
        <c:scaling>
          <c:orientation val="maxMin"/>
          <c:max val="-3"/>
          <c:min val="-9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%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zh-CN">
                    <a:latin typeface="Arial" panose="020B0604020202020204" pitchFamily="34" charset="0"/>
                    <a:cs typeface="Arial" panose="020B0604020202020204" pitchFamily="34" charset="0"/>
                  </a:rPr>
                  <a:t>δ</a:t>
                </a:r>
                <a:r>
                  <a:rPr lang="en-US" altLang="zh-CN" baseline="30%">
                    <a:latin typeface="Arial" panose="020B0604020202020204" pitchFamily="34" charset="0"/>
                    <a:cs typeface="Arial" panose="020B0604020202020204" pitchFamily="34" charset="0"/>
                  </a:rPr>
                  <a:t>13</a:t>
                </a:r>
                <a:r>
                  <a:rPr lang="en-US" altLang="zh-CN">
                    <a:latin typeface="Arial" panose="020B0604020202020204" pitchFamily="34" charset="0"/>
                    <a:cs typeface="Arial" panose="020B0604020202020204" pitchFamily="34" charset="0"/>
                  </a:rPr>
                  <a:t>C</a:t>
                </a:r>
                <a:r>
                  <a:rPr lang="en-US" altLang="zh-CN" baseline="-25%">
                    <a:latin typeface="Arial" panose="020B0604020202020204" pitchFamily="34" charset="0"/>
                    <a:cs typeface="Arial" panose="020B0604020202020204" pitchFamily="34" charset="0"/>
                  </a:rPr>
                  <a:t>o</a:t>
                </a:r>
                <a:r>
                  <a:rPr lang="zh-CN" altLang="en-US">
                    <a:latin typeface="Arial" panose="020B0604020202020204" pitchFamily="34" charset="0"/>
                    <a:cs typeface="Arial" panose="020B0604020202020204" pitchFamily="34" charset="0"/>
                  </a:rPr>
                  <a:t> </a:t>
                </a:r>
                <a:r>
                  <a:rPr lang="en-US" altLang="zh-CN">
                    <a:latin typeface="Arial" panose="020B0604020202020204" pitchFamily="34" charset="0"/>
                    <a:cs typeface="Arial" panose="020B0604020202020204" pitchFamily="34" charset="0"/>
                  </a:rPr>
                  <a:t>(‰)</a:t>
                </a:r>
                <a:endParaRPr lang="en-US"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%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%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36913952"/>
        <c:crosses val="autoZero"/>
        <c:crossBetween val="midCat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6.8526638956549452E-2"/>
          <c:y val="7.4794506108423184E-2"/>
          <c:w val="0.90775881526787439"/>
          <c:h val="0.7530322251385243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rgbClr val="9BBB59">
                  <a:alpha val="50%"/>
                </a:srgbClr>
              </a:solidFill>
              <a:ln w="9525">
                <a:noFill/>
              </a:ln>
              <a:effectLst/>
            </c:spPr>
          </c:marker>
          <c:xVal>
            <c:numRef>
              <c:f>Sheet2!$H$2:$H$229</c:f>
              <c:numCache>
                <c:formatCode>0_);[Red]\(0\)</c:formatCode>
                <c:ptCount val="228"/>
                <c:pt idx="0">
                  <c:v>14.489000000000001</c:v>
                </c:pt>
                <c:pt idx="1">
                  <c:v>20.145099999999999</c:v>
                </c:pt>
                <c:pt idx="2">
                  <c:v>33.428800000000003</c:v>
                </c:pt>
                <c:pt idx="3">
                  <c:v>42.167000000000002</c:v>
                </c:pt>
                <c:pt idx="4">
                  <c:v>50.741599999999998</c:v>
                </c:pt>
                <c:pt idx="5">
                  <c:v>55.8123</c:v>
                </c:pt>
                <c:pt idx="6">
                  <c:v>60.607500000000002</c:v>
                </c:pt>
                <c:pt idx="7">
                  <c:v>68.260899999999992</c:v>
                </c:pt>
                <c:pt idx="8">
                  <c:v>91.376100000000008</c:v>
                </c:pt>
                <c:pt idx="9">
                  <c:v>92.159599999999998</c:v>
                </c:pt>
                <c:pt idx="10">
                  <c:v>109.80800000000001</c:v>
                </c:pt>
                <c:pt idx="11">
                  <c:v>112.21899999999999</c:v>
                </c:pt>
                <c:pt idx="12">
                  <c:v>126.03600000000002</c:v>
                </c:pt>
                <c:pt idx="13">
                  <c:v>127.53400000000001</c:v>
                </c:pt>
                <c:pt idx="14">
                  <c:v>130.642</c:v>
                </c:pt>
                <c:pt idx="15">
                  <c:v>152.56</c:v>
                </c:pt>
                <c:pt idx="16">
                  <c:v>155.67700000000002</c:v>
                </c:pt>
                <c:pt idx="17">
                  <c:v>165.30199999999999</c:v>
                </c:pt>
                <c:pt idx="18">
                  <c:v>187.46099999999998</c:v>
                </c:pt>
                <c:pt idx="19">
                  <c:v>187.97800000000001</c:v>
                </c:pt>
                <c:pt idx="20">
                  <c:v>193.83199999999999</c:v>
                </c:pt>
                <c:pt idx="21">
                  <c:v>194.63300000000001</c:v>
                </c:pt>
                <c:pt idx="22">
                  <c:v>201.709</c:v>
                </c:pt>
                <c:pt idx="23">
                  <c:v>220.554</c:v>
                </c:pt>
                <c:pt idx="24">
                  <c:v>221.91499999999999</c:v>
                </c:pt>
                <c:pt idx="25">
                  <c:v>229.405</c:v>
                </c:pt>
                <c:pt idx="26">
                  <c:v>238.143</c:v>
                </c:pt>
                <c:pt idx="27">
                  <c:v>245.06399999999999</c:v>
                </c:pt>
                <c:pt idx="28">
                  <c:v>252.74400000000003</c:v>
                </c:pt>
                <c:pt idx="29">
                  <c:v>265.64</c:v>
                </c:pt>
                <c:pt idx="30">
                  <c:v>280.41300000000001</c:v>
                </c:pt>
                <c:pt idx="31">
                  <c:v>290.24400000000003</c:v>
                </c:pt>
                <c:pt idx="32">
                  <c:v>308.90899999999999</c:v>
                </c:pt>
                <c:pt idx="33">
                  <c:v>320.70300000000003</c:v>
                </c:pt>
                <c:pt idx="34">
                  <c:v>326.43699999999995</c:v>
                </c:pt>
                <c:pt idx="35">
                  <c:v>337.27600000000001</c:v>
                </c:pt>
                <c:pt idx="36">
                  <c:v>344.33499999999998</c:v>
                </c:pt>
                <c:pt idx="37">
                  <c:v>358.798</c:v>
                </c:pt>
                <c:pt idx="38">
                  <c:v>373.21800000000002</c:v>
                </c:pt>
                <c:pt idx="39">
                  <c:v>388.68</c:v>
                </c:pt>
                <c:pt idx="40">
                  <c:v>424.70000000000005</c:v>
                </c:pt>
                <c:pt idx="41">
                  <c:v>432.13800000000003</c:v>
                </c:pt>
                <c:pt idx="42">
                  <c:v>439.81799999999998</c:v>
                </c:pt>
                <c:pt idx="43">
                  <c:v>442.31399999999996</c:v>
                </c:pt>
                <c:pt idx="44">
                  <c:v>459.05899999999997</c:v>
                </c:pt>
                <c:pt idx="45">
                  <c:v>472.62700000000001</c:v>
                </c:pt>
                <c:pt idx="46">
                  <c:v>490.61100000000005</c:v>
                </c:pt>
                <c:pt idx="47">
                  <c:v>501.24299999999999</c:v>
                </c:pt>
                <c:pt idx="48">
                  <c:v>516.44599999999991</c:v>
                </c:pt>
                <c:pt idx="49">
                  <c:v>522.91200000000003</c:v>
                </c:pt>
                <c:pt idx="50">
                  <c:v>536.16099999999994</c:v>
                </c:pt>
                <c:pt idx="51">
                  <c:v>552.37199999999996</c:v>
                </c:pt>
                <c:pt idx="52">
                  <c:v>564.33799999999997</c:v>
                </c:pt>
                <c:pt idx="53">
                  <c:v>566.61099999999999</c:v>
                </c:pt>
                <c:pt idx="54">
                  <c:v>580.274</c:v>
                </c:pt>
                <c:pt idx="55">
                  <c:v>583.57099999999991</c:v>
                </c:pt>
                <c:pt idx="56">
                  <c:v>591.79300000000001</c:v>
                </c:pt>
                <c:pt idx="57">
                  <c:v>598.83500000000004</c:v>
                </c:pt>
                <c:pt idx="58">
                  <c:v>600.72899999999993</c:v>
                </c:pt>
                <c:pt idx="59">
                  <c:v>609.12299999999993</c:v>
                </c:pt>
                <c:pt idx="60">
                  <c:v>616.43999999999994</c:v>
                </c:pt>
                <c:pt idx="61">
                  <c:v>627.72700000000009</c:v>
                </c:pt>
                <c:pt idx="62">
                  <c:v>638.19499999999994</c:v>
                </c:pt>
                <c:pt idx="63">
                  <c:v>642.95600000000002</c:v>
                </c:pt>
                <c:pt idx="64">
                  <c:v>653.57100000000003</c:v>
                </c:pt>
                <c:pt idx="65">
                  <c:v>670.72900000000004</c:v>
                </c:pt>
                <c:pt idx="66">
                  <c:v>675.34300000000007</c:v>
                </c:pt>
                <c:pt idx="67">
                  <c:v>680.97300000000007</c:v>
                </c:pt>
                <c:pt idx="68">
                  <c:v>692.63</c:v>
                </c:pt>
                <c:pt idx="69">
                  <c:v>712.81000000000006</c:v>
                </c:pt>
                <c:pt idx="70">
                  <c:v>747.86599999999999</c:v>
                </c:pt>
                <c:pt idx="71">
                  <c:v>752.678</c:v>
                </c:pt>
                <c:pt idx="72">
                  <c:v>766.24599999999998</c:v>
                </c:pt>
                <c:pt idx="73">
                  <c:v>766.71100000000001</c:v>
                </c:pt>
                <c:pt idx="74">
                  <c:v>785.65</c:v>
                </c:pt>
                <c:pt idx="75">
                  <c:v>793.05400000000009</c:v>
                </c:pt>
                <c:pt idx="76">
                  <c:v>803.80700000000002</c:v>
                </c:pt>
                <c:pt idx="77">
                  <c:v>812.01100000000008</c:v>
                </c:pt>
                <c:pt idx="78">
                  <c:v>815.44600000000003</c:v>
                </c:pt>
                <c:pt idx="79">
                  <c:v>834.36</c:v>
                </c:pt>
                <c:pt idx="80">
                  <c:v>836.46100000000001</c:v>
                </c:pt>
                <c:pt idx="81">
                  <c:v>838.7940000000001</c:v>
                </c:pt>
                <c:pt idx="82">
                  <c:v>866.42</c:v>
                </c:pt>
                <c:pt idx="83">
                  <c:v>868.68399999999997</c:v>
                </c:pt>
                <c:pt idx="84">
                  <c:v>873.721</c:v>
                </c:pt>
                <c:pt idx="85">
                  <c:v>881.62399999999991</c:v>
                </c:pt>
                <c:pt idx="86">
                  <c:v>895.39800000000002</c:v>
                </c:pt>
                <c:pt idx="87">
                  <c:v>900.15</c:v>
                </c:pt>
                <c:pt idx="88">
                  <c:v>907.92399999999998</c:v>
                </c:pt>
                <c:pt idx="89">
                  <c:v>932.60599999999999</c:v>
                </c:pt>
                <c:pt idx="90">
                  <c:v>932.73599999999999</c:v>
                </c:pt>
                <c:pt idx="91">
                  <c:v>934.97399999999993</c:v>
                </c:pt>
                <c:pt idx="92">
                  <c:v>940.923</c:v>
                </c:pt>
                <c:pt idx="93">
                  <c:v>953.25900000000001</c:v>
                </c:pt>
                <c:pt idx="94">
                  <c:v>962.28199999999993</c:v>
                </c:pt>
                <c:pt idx="95">
                  <c:v>973.23199999999997</c:v>
                </c:pt>
                <c:pt idx="96">
                  <c:v>976.68500000000006</c:v>
                </c:pt>
                <c:pt idx="97">
                  <c:v>988.86599999999999</c:v>
                </c:pt>
                <c:pt idx="98">
                  <c:v>998.08699999999999</c:v>
                </c:pt>
                <c:pt idx="99">
                  <c:v>999.80000000000007</c:v>
                </c:pt>
                <c:pt idx="100">
                  <c:v>1023.08</c:v>
                </c:pt>
                <c:pt idx="101">
                  <c:v>1024.25</c:v>
                </c:pt>
                <c:pt idx="102">
                  <c:v>1032.8900000000001</c:v>
                </c:pt>
                <c:pt idx="103">
                  <c:v>1050.6299999999999</c:v>
                </c:pt>
                <c:pt idx="104">
                  <c:v>1056.47</c:v>
                </c:pt>
                <c:pt idx="105">
                  <c:v>1066.92</c:v>
                </c:pt>
                <c:pt idx="106">
                  <c:v>1077.3800000000001</c:v>
                </c:pt>
                <c:pt idx="107">
                  <c:v>1091.72</c:v>
                </c:pt>
                <c:pt idx="108">
                  <c:v>1094.77</c:v>
                </c:pt>
                <c:pt idx="109">
                  <c:v>1114.82</c:v>
                </c:pt>
                <c:pt idx="110">
                  <c:v>1115.28</c:v>
                </c:pt>
                <c:pt idx="111">
                  <c:v>1133.92</c:v>
                </c:pt>
                <c:pt idx="112">
                  <c:v>1138.6000000000001</c:v>
                </c:pt>
                <c:pt idx="113">
                  <c:v>1152.73</c:v>
                </c:pt>
                <c:pt idx="114">
                  <c:v>1161.9100000000001</c:v>
                </c:pt>
                <c:pt idx="115">
                  <c:v>1175.6400000000001</c:v>
                </c:pt>
                <c:pt idx="116">
                  <c:v>1181.99</c:v>
                </c:pt>
                <c:pt idx="117">
                  <c:v>1197.7</c:v>
                </c:pt>
                <c:pt idx="118">
                  <c:v>1211.47</c:v>
                </c:pt>
                <c:pt idx="119">
                  <c:v>1226.17</c:v>
                </c:pt>
                <c:pt idx="120">
                  <c:v>1227.94</c:v>
                </c:pt>
                <c:pt idx="121">
                  <c:v>1243.58</c:v>
                </c:pt>
                <c:pt idx="122">
                  <c:v>1244.53</c:v>
                </c:pt>
                <c:pt idx="123">
                  <c:v>1257.31</c:v>
                </c:pt>
                <c:pt idx="124">
                  <c:v>1263</c:v>
                </c:pt>
                <c:pt idx="125">
                  <c:v>1273.3000000000002</c:v>
                </c:pt>
                <c:pt idx="126">
                  <c:v>1275.6499999999999</c:v>
                </c:pt>
                <c:pt idx="127">
                  <c:v>1291.93</c:v>
                </c:pt>
                <c:pt idx="128">
                  <c:v>1300.99</c:v>
                </c:pt>
                <c:pt idx="129">
                  <c:v>1305.1699999999998</c:v>
                </c:pt>
                <c:pt idx="130">
                  <c:v>1305.6500000000001</c:v>
                </c:pt>
                <c:pt idx="131">
                  <c:v>1310.8500000000001</c:v>
                </c:pt>
                <c:pt idx="132">
                  <c:v>1320.86</c:v>
                </c:pt>
                <c:pt idx="133">
                  <c:v>1326.65</c:v>
                </c:pt>
                <c:pt idx="134">
                  <c:v>1333.8000000000002</c:v>
                </c:pt>
                <c:pt idx="135">
                  <c:v>1342.54</c:v>
                </c:pt>
                <c:pt idx="136">
                  <c:v>1350.19</c:v>
                </c:pt>
                <c:pt idx="137">
                  <c:v>1363.99</c:v>
                </c:pt>
                <c:pt idx="138">
                  <c:v>1376.9199999999998</c:v>
                </c:pt>
                <c:pt idx="139">
                  <c:v>1385.31</c:v>
                </c:pt>
                <c:pt idx="140">
                  <c:v>1408.8799999999999</c:v>
                </c:pt>
                <c:pt idx="141">
                  <c:v>1414.8400000000001</c:v>
                </c:pt>
                <c:pt idx="142">
                  <c:v>1430.8600000000001</c:v>
                </c:pt>
                <c:pt idx="143">
                  <c:v>1438.51</c:v>
                </c:pt>
                <c:pt idx="144">
                  <c:v>1460.42</c:v>
                </c:pt>
                <c:pt idx="145">
                  <c:v>1478.6</c:v>
                </c:pt>
                <c:pt idx="146">
                  <c:v>1484.34</c:v>
                </c:pt>
                <c:pt idx="147">
                  <c:v>1513.86</c:v>
                </c:pt>
                <c:pt idx="148">
                  <c:v>1529.79</c:v>
                </c:pt>
                <c:pt idx="149">
                  <c:v>1539.9199999999998</c:v>
                </c:pt>
                <c:pt idx="150">
                  <c:v>1551.37</c:v>
                </c:pt>
                <c:pt idx="151">
                  <c:v>1566.9599999999998</c:v>
                </c:pt>
                <c:pt idx="152">
                  <c:v>1578.27</c:v>
                </c:pt>
                <c:pt idx="153">
                  <c:v>1583.21</c:v>
                </c:pt>
                <c:pt idx="154">
                  <c:v>1604.7800000000002</c:v>
                </c:pt>
                <c:pt idx="155">
                  <c:v>1606.95</c:v>
                </c:pt>
                <c:pt idx="156">
                  <c:v>1623.78</c:v>
                </c:pt>
                <c:pt idx="157">
                  <c:v>1628.47</c:v>
                </c:pt>
                <c:pt idx="158">
                  <c:v>1636.96</c:v>
                </c:pt>
                <c:pt idx="159">
                  <c:v>1665.99</c:v>
                </c:pt>
                <c:pt idx="160">
                  <c:v>1669.0100000000002</c:v>
                </c:pt>
                <c:pt idx="161">
                  <c:v>1697.91</c:v>
                </c:pt>
                <c:pt idx="162">
                  <c:v>1725.3899999999999</c:v>
                </c:pt>
                <c:pt idx="163">
                  <c:v>1738.45</c:v>
                </c:pt>
                <c:pt idx="164">
                  <c:v>1751.63</c:v>
                </c:pt>
                <c:pt idx="165">
                  <c:v>1752.1899999999998</c:v>
                </c:pt>
                <c:pt idx="166">
                  <c:v>1768.06</c:v>
                </c:pt>
                <c:pt idx="167">
                  <c:v>1781.3000000000002</c:v>
                </c:pt>
                <c:pt idx="168">
                  <c:v>1789.0900000000001</c:v>
                </c:pt>
                <c:pt idx="169">
                  <c:v>1805.27</c:v>
                </c:pt>
                <c:pt idx="170">
                  <c:v>1823.81</c:v>
                </c:pt>
                <c:pt idx="171">
                  <c:v>1837.47</c:v>
                </c:pt>
                <c:pt idx="172">
                  <c:v>1858.64</c:v>
                </c:pt>
                <c:pt idx="173">
                  <c:v>1872.3300000000002</c:v>
                </c:pt>
                <c:pt idx="174">
                  <c:v>1885.1299999999999</c:v>
                </c:pt>
                <c:pt idx="175">
                  <c:v>1907.09</c:v>
                </c:pt>
                <c:pt idx="176">
                  <c:v>1925.67</c:v>
                </c:pt>
                <c:pt idx="177">
                  <c:v>1955.33</c:v>
                </c:pt>
                <c:pt idx="178">
                  <c:v>1971.0700000000002</c:v>
                </c:pt>
                <c:pt idx="179">
                  <c:v>1980.26</c:v>
                </c:pt>
                <c:pt idx="180">
                  <c:v>1990.53</c:v>
                </c:pt>
                <c:pt idx="181">
                  <c:v>2007.03</c:v>
                </c:pt>
                <c:pt idx="182">
                  <c:v>2011.95</c:v>
                </c:pt>
                <c:pt idx="183">
                  <c:v>2022.31</c:v>
                </c:pt>
                <c:pt idx="184">
                  <c:v>2038.8099999999997</c:v>
                </c:pt>
                <c:pt idx="185">
                  <c:v>2044.4399999999998</c:v>
                </c:pt>
                <c:pt idx="186">
                  <c:v>2054.7200000000003</c:v>
                </c:pt>
                <c:pt idx="187">
                  <c:v>2084.6</c:v>
                </c:pt>
                <c:pt idx="188">
                  <c:v>2089.1099999999997</c:v>
                </c:pt>
                <c:pt idx="189">
                  <c:v>2110.1899999999996</c:v>
                </c:pt>
                <c:pt idx="190">
                  <c:v>2134.4899999999998</c:v>
                </c:pt>
                <c:pt idx="191">
                  <c:v>2140.4700000000003</c:v>
                </c:pt>
                <c:pt idx="192">
                  <c:v>2151.0600000000004</c:v>
                </c:pt>
                <c:pt idx="193">
                  <c:v>2171.81</c:v>
                </c:pt>
                <c:pt idx="194">
                  <c:v>2180.16</c:v>
                </c:pt>
                <c:pt idx="195">
                  <c:v>2222.8599999999997</c:v>
                </c:pt>
                <c:pt idx="196">
                  <c:v>2236.79</c:v>
                </c:pt>
                <c:pt idx="197">
                  <c:v>2250.35</c:v>
                </c:pt>
                <c:pt idx="198">
                  <c:v>2252.21</c:v>
                </c:pt>
                <c:pt idx="199">
                  <c:v>2279.7000000000003</c:v>
                </c:pt>
                <c:pt idx="200">
                  <c:v>2281.71</c:v>
                </c:pt>
                <c:pt idx="201">
                  <c:v>2290.09</c:v>
                </c:pt>
                <c:pt idx="202">
                  <c:v>2303.52</c:v>
                </c:pt>
                <c:pt idx="203">
                  <c:v>2304.1</c:v>
                </c:pt>
                <c:pt idx="204">
                  <c:v>2314.42</c:v>
                </c:pt>
                <c:pt idx="205">
                  <c:v>2321.9599999999996</c:v>
                </c:pt>
                <c:pt idx="206">
                  <c:v>2335.96</c:v>
                </c:pt>
                <c:pt idx="207">
                  <c:v>2351.12</c:v>
                </c:pt>
                <c:pt idx="208">
                  <c:v>2364.6</c:v>
                </c:pt>
                <c:pt idx="209">
                  <c:v>2389.29</c:v>
                </c:pt>
                <c:pt idx="210">
                  <c:v>2407.64</c:v>
                </c:pt>
                <c:pt idx="211">
                  <c:v>2423.94</c:v>
                </c:pt>
                <c:pt idx="212">
                  <c:v>2434.29</c:v>
                </c:pt>
                <c:pt idx="213">
                  <c:v>2445.02</c:v>
                </c:pt>
                <c:pt idx="214">
                  <c:v>2450.87</c:v>
                </c:pt>
                <c:pt idx="215">
                  <c:v>2453.42</c:v>
                </c:pt>
                <c:pt idx="216">
                  <c:v>2475.0800000000004</c:v>
                </c:pt>
                <c:pt idx="217">
                  <c:v>2477.37</c:v>
                </c:pt>
                <c:pt idx="218">
                  <c:v>2487.8900000000003</c:v>
                </c:pt>
                <c:pt idx="219">
                  <c:v>2499.19</c:v>
                </c:pt>
                <c:pt idx="220">
                  <c:v>2507.0800000000004</c:v>
                </c:pt>
                <c:pt idx="221">
                  <c:v>2509.38</c:v>
                </c:pt>
                <c:pt idx="222">
                  <c:v>2523.59</c:v>
                </c:pt>
                <c:pt idx="223">
                  <c:v>2541.52</c:v>
                </c:pt>
                <c:pt idx="224">
                  <c:v>2552.3799999999997</c:v>
                </c:pt>
                <c:pt idx="225">
                  <c:v>2576.21</c:v>
                </c:pt>
                <c:pt idx="226">
                  <c:v>2577.2800000000002</c:v>
                </c:pt>
                <c:pt idx="227">
                  <c:v>2595.4</c:v>
                </c:pt>
              </c:numCache>
            </c:numRef>
          </c:xVal>
          <c:yVal>
            <c:numRef>
              <c:f>Sheet2!$J$2:$J$229</c:f>
              <c:numCache>
                <c:formatCode>0.00_ </c:formatCode>
                <c:ptCount val="228"/>
                <c:pt idx="0">
                  <c:v>-22.958100000000002</c:v>
                </c:pt>
                <c:pt idx="1">
                  <c:v>-22.282699999999998</c:v>
                </c:pt>
                <c:pt idx="2">
                  <c:v>-22.5139</c:v>
                </c:pt>
                <c:pt idx="3">
                  <c:v>-20.931699999999999</c:v>
                </c:pt>
                <c:pt idx="4">
                  <c:v>-19.716100000000001</c:v>
                </c:pt>
                <c:pt idx="5">
                  <c:v>-20.352599999999999</c:v>
                </c:pt>
                <c:pt idx="6">
                  <c:v>-21.6065</c:v>
                </c:pt>
                <c:pt idx="7">
                  <c:v>-22.455200000000001</c:v>
                </c:pt>
                <c:pt idx="8">
                  <c:v>-18.654</c:v>
                </c:pt>
                <c:pt idx="9">
                  <c:v>-16.898399999999999</c:v>
                </c:pt>
                <c:pt idx="10">
                  <c:v>-19.348099999999999</c:v>
                </c:pt>
                <c:pt idx="11">
                  <c:v>-19.946100000000001</c:v>
                </c:pt>
                <c:pt idx="12">
                  <c:v>-18.981200000000001</c:v>
                </c:pt>
                <c:pt idx="13">
                  <c:v>-21.624199999999998</c:v>
                </c:pt>
                <c:pt idx="14">
                  <c:v>-20.659500000000001</c:v>
                </c:pt>
                <c:pt idx="15">
                  <c:v>-19.54</c:v>
                </c:pt>
                <c:pt idx="16">
                  <c:v>-18.556000000000001</c:v>
                </c:pt>
                <c:pt idx="17">
                  <c:v>-20.986599999999999</c:v>
                </c:pt>
                <c:pt idx="18">
                  <c:v>-19.326899999999998</c:v>
                </c:pt>
                <c:pt idx="19">
                  <c:v>-18.1694</c:v>
                </c:pt>
                <c:pt idx="20">
                  <c:v>-23.0503</c:v>
                </c:pt>
                <c:pt idx="21">
                  <c:v>-21.256</c:v>
                </c:pt>
                <c:pt idx="22">
                  <c:v>-23.397300000000001</c:v>
                </c:pt>
                <c:pt idx="23">
                  <c:v>-23.165400000000002</c:v>
                </c:pt>
                <c:pt idx="24">
                  <c:v>-20.117100000000001</c:v>
                </c:pt>
                <c:pt idx="25">
                  <c:v>-21.3324</c:v>
                </c:pt>
                <c:pt idx="26">
                  <c:v>-19.7502</c:v>
                </c:pt>
                <c:pt idx="27">
                  <c:v>-22.238700000000001</c:v>
                </c:pt>
                <c:pt idx="28">
                  <c:v>-23.029499999999999</c:v>
                </c:pt>
                <c:pt idx="29">
                  <c:v>-18.128900000000002</c:v>
                </c:pt>
                <c:pt idx="30">
                  <c:v>-21.022500000000001</c:v>
                </c:pt>
                <c:pt idx="31">
                  <c:v>-22.990100000000002</c:v>
                </c:pt>
                <c:pt idx="32">
                  <c:v>-23.1632</c:v>
                </c:pt>
                <c:pt idx="33">
                  <c:v>-20.732099999999999</c:v>
                </c:pt>
                <c:pt idx="34">
                  <c:v>-19.883099999999999</c:v>
                </c:pt>
                <c:pt idx="35">
                  <c:v>-19.593399999999999</c:v>
                </c:pt>
                <c:pt idx="36">
                  <c:v>-21.773299999999999</c:v>
                </c:pt>
                <c:pt idx="37">
                  <c:v>-19.3614</c:v>
                </c:pt>
                <c:pt idx="38">
                  <c:v>-23.0459</c:v>
                </c:pt>
                <c:pt idx="39">
                  <c:v>-24.396000000000001</c:v>
                </c:pt>
                <c:pt idx="40">
                  <c:v>-21.674900000000001</c:v>
                </c:pt>
                <c:pt idx="41">
                  <c:v>-23.0059</c:v>
                </c:pt>
                <c:pt idx="42">
                  <c:v>-23.796700000000001</c:v>
                </c:pt>
                <c:pt idx="43">
                  <c:v>-24.201799999999999</c:v>
                </c:pt>
                <c:pt idx="44">
                  <c:v>-22.677299999999999</c:v>
                </c:pt>
                <c:pt idx="45">
                  <c:v>-22.271799999999999</c:v>
                </c:pt>
                <c:pt idx="46">
                  <c:v>-23.969100000000001</c:v>
                </c:pt>
                <c:pt idx="47">
                  <c:v>-18.142499999999998</c:v>
                </c:pt>
                <c:pt idx="48">
                  <c:v>-20.071400000000001</c:v>
                </c:pt>
                <c:pt idx="49">
                  <c:v>-23.5825</c:v>
                </c:pt>
                <c:pt idx="50">
                  <c:v>-23.890899999999998</c:v>
                </c:pt>
                <c:pt idx="51">
                  <c:v>-23.5625</c:v>
                </c:pt>
                <c:pt idx="52">
                  <c:v>-20.7455</c:v>
                </c:pt>
                <c:pt idx="53">
                  <c:v>-21.652200000000001</c:v>
                </c:pt>
                <c:pt idx="54">
                  <c:v>-21.034500000000001</c:v>
                </c:pt>
                <c:pt idx="55">
                  <c:v>-19.645399999999999</c:v>
                </c:pt>
                <c:pt idx="56">
                  <c:v>-19.220700000000001</c:v>
                </c:pt>
                <c:pt idx="57">
                  <c:v>-21.4392</c:v>
                </c:pt>
                <c:pt idx="58">
                  <c:v>-23.194800000000001</c:v>
                </c:pt>
                <c:pt idx="59">
                  <c:v>-22.3843</c:v>
                </c:pt>
                <c:pt idx="60">
                  <c:v>-23.985399999999998</c:v>
                </c:pt>
                <c:pt idx="61">
                  <c:v>-22.692499999999999</c:v>
                </c:pt>
                <c:pt idx="62">
                  <c:v>-23.232500000000002</c:v>
                </c:pt>
                <c:pt idx="63">
                  <c:v>-24.563500000000001</c:v>
                </c:pt>
                <c:pt idx="64">
                  <c:v>-24.775500000000001</c:v>
                </c:pt>
                <c:pt idx="65">
                  <c:v>-22.3249</c:v>
                </c:pt>
                <c:pt idx="66">
                  <c:v>-23.984000000000002</c:v>
                </c:pt>
                <c:pt idx="67">
                  <c:v>-23.366499999999998</c:v>
                </c:pt>
                <c:pt idx="68">
                  <c:v>-21.244</c:v>
                </c:pt>
                <c:pt idx="69">
                  <c:v>-24.021699999999999</c:v>
                </c:pt>
                <c:pt idx="70">
                  <c:v>-23.461300000000001</c:v>
                </c:pt>
                <c:pt idx="71">
                  <c:v>-24.6767</c:v>
                </c:pt>
                <c:pt idx="72">
                  <c:v>-24.2712</c:v>
                </c:pt>
                <c:pt idx="73">
                  <c:v>-23.229399999999998</c:v>
                </c:pt>
                <c:pt idx="74">
                  <c:v>-22.7852</c:v>
                </c:pt>
                <c:pt idx="75">
                  <c:v>-24.1934</c:v>
                </c:pt>
                <c:pt idx="76">
                  <c:v>-24.096599999999999</c:v>
                </c:pt>
                <c:pt idx="77">
                  <c:v>-23.710599999999999</c:v>
                </c:pt>
                <c:pt idx="78">
                  <c:v>-22.012799999999999</c:v>
                </c:pt>
                <c:pt idx="79">
                  <c:v>-21.6265</c:v>
                </c:pt>
                <c:pt idx="80">
                  <c:v>-22.919</c:v>
                </c:pt>
                <c:pt idx="81">
                  <c:v>-23.6907</c:v>
                </c:pt>
                <c:pt idx="82">
                  <c:v>-21.78</c:v>
                </c:pt>
                <c:pt idx="83">
                  <c:v>-22.706</c:v>
                </c:pt>
                <c:pt idx="84">
                  <c:v>-23.419699999999999</c:v>
                </c:pt>
                <c:pt idx="85">
                  <c:v>-23.7089</c:v>
                </c:pt>
                <c:pt idx="86">
                  <c:v>-22.840399999999999</c:v>
                </c:pt>
                <c:pt idx="87">
                  <c:v>-24.190799999999999</c:v>
                </c:pt>
                <c:pt idx="88">
                  <c:v>-24.769400000000001</c:v>
                </c:pt>
                <c:pt idx="89">
                  <c:v>-23.456900000000001</c:v>
                </c:pt>
                <c:pt idx="90">
                  <c:v>-23.1675</c:v>
                </c:pt>
                <c:pt idx="91">
                  <c:v>-24.151399999999999</c:v>
                </c:pt>
                <c:pt idx="92">
                  <c:v>-22.82</c:v>
                </c:pt>
                <c:pt idx="93">
                  <c:v>-19.173400000000001</c:v>
                </c:pt>
                <c:pt idx="94">
                  <c:v>-22.954599999999999</c:v>
                </c:pt>
                <c:pt idx="95">
                  <c:v>-22.414100000000001</c:v>
                </c:pt>
                <c:pt idx="96">
                  <c:v>-20.677700000000002</c:v>
                </c:pt>
                <c:pt idx="97">
                  <c:v>-23.378399999999999</c:v>
                </c:pt>
                <c:pt idx="98">
                  <c:v>-20.715800000000002</c:v>
                </c:pt>
                <c:pt idx="99">
                  <c:v>-22.8765</c:v>
                </c:pt>
                <c:pt idx="100">
                  <c:v>-18.7087</c:v>
                </c:pt>
                <c:pt idx="101">
                  <c:v>-22.084900000000001</c:v>
                </c:pt>
                <c:pt idx="102">
                  <c:v>-20.7149</c:v>
                </c:pt>
                <c:pt idx="103">
                  <c:v>-22.971699999999998</c:v>
                </c:pt>
                <c:pt idx="104">
                  <c:v>-21.8719</c:v>
                </c:pt>
                <c:pt idx="105">
                  <c:v>-22.4697</c:v>
                </c:pt>
                <c:pt idx="106">
                  <c:v>-23.009699999999999</c:v>
                </c:pt>
                <c:pt idx="107">
                  <c:v>-20.8871</c:v>
                </c:pt>
                <c:pt idx="108">
                  <c:v>-20.057500000000001</c:v>
                </c:pt>
                <c:pt idx="109">
                  <c:v>-23.124500000000001</c:v>
                </c:pt>
                <c:pt idx="110">
                  <c:v>-22.082699999999999</c:v>
                </c:pt>
                <c:pt idx="111">
                  <c:v>-22.313800000000001</c:v>
                </c:pt>
                <c:pt idx="112">
                  <c:v>-23.8185</c:v>
                </c:pt>
                <c:pt idx="113">
                  <c:v>-22.158999999999999</c:v>
                </c:pt>
                <c:pt idx="114">
                  <c:v>-19.5928</c:v>
                </c:pt>
                <c:pt idx="115">
                  <c:v>-24.820799999999998</c:v>
                </c:pt>
                <c:pt idx="116">
                  <c:v>-22.582699999999999</c:v>
                </c:pt>
                <c:pt idx="117">
                  <c:v>-23.392600000000002</c:v>
                </c:pt>
                <c:pt idx="118">
                  <c:v>-22.524100000000001</c:v>
                </c:pt>
                <c:pt idx="119">
                  <c:v>-19.571999999999999</c:v>
                </c:pt>
                <c:pt idx="120">
                  <c:v>-21.617000000000001</c:v>
                </c:pt>
                <c:pt idx="121">
                  <c:v>-22.561900000000001</c:v>
                </c:pt>
                <c:pt idx="122">
                  <c:v>-20.439699999999998</c:v>
                </c:pt>
                <c:pt idx="123">
                  <c:v>-21.789899999999999</c:v>
                </c:pt>
                <c:pt idx="124">
                  <c:v>-21.037299999999998</c:v>
                </c:pt>
                <c:pt idx="125">
                  <c:v>-21.963100000000001</c:v>
                </c:pt>
                <c:pt idx="126">
                  <c:v>-22.696200000000001</c:v>
                </c:pt>
                <c:pt idx="127">
                  <c:v>-22.2135</c:v>
                </c:pt>
                <c:pt idx="128">
                  <c:v>-19.9175</c:v>
                </c:pt>
                <c:pt idx="129">
                  <c:v>-22.5411</c:v>
                </c:pt>
                <c:pt idx="130">
                  <c:v>-21.460699999999999</c:v>
                </c:pt>
                <c:pt idx="131">
                  <c:v>-21.8079</c:v>
                </c:pt>
                <c:pt idx="132">
                  <c:v>-23.3703</c:v>
                </c:pt>
                <c:pt idx="133">
                  <c:v>-22.4056</c:v>
                </c:pt>
                <c:pt idx="134">
                  <c:v>-24.392499999999998</c:v>
                </c:pt>
                <c:pt idx="135">
                  <c:v>-22.791</c:v>
                </c:pt>
                <c:pt idx="136">
                  <c:v>-23.658999999999999</c:v>
                </c:pt>
                <c:pt idx="137">
                  <c:v>-22.732700000000001</c:v>
                </c:pt>
                <c:pt idx="138">
                  <c:v>-23.754799999999999</c:v>
                </c:pt>
                <c:pt idx="139">
                  <c:v>-22.944400000000002</c:v>
                </c:pt>
                <c:pt idx="140">
                  <c:v>-24.1206</c:v>
                </c:pt>
                <c:pt idx="141">
                  <c:v>-22.77</c:v>
                </c:pt>
                <c:pt idx="142">
                  <c:v>-22.866099999999999</c:v>
                </c:pt>
                <c:pt idx="143">
                  <c:v>-23.734100000000002</c:v>
                </c:pt>
                <c:pt idx="144">
                  <c:v>-22.633900000000001</c:v>
                </c:pt>
                <c:pt idx="145">
                  <c:v>-23.8874</c:v>
                </c:pt>
                <c:pt idx="146">
                  <c:v>-23.019100000000002</c:v>
                </c:pt>
                <c:pt idx="147">
                  <c:v>-22.864100000000001</c:v>
                </c:pt>
                <c:pt idx="148">
                  <c:v>-23.1724</c:v>
                </c:pt>
                <c:pt idx="149">
                  <c:v>-24.464700000000001</c:v>
                </c:pt>
                <c:pt idx="150">
                  <c:v>-22.805299999999999</c:v>
                </c:pt>
                <c:pt idx="151">
                  <c:v>-23.866</c:v>
                </c:pt>
                <c:pt idx="152">
                  <c:v>-22.534600000000001</c:v>
                </c:pt>
                <c:pt idx="153">
                  <c:v>-23.4605</c:v>
                </c:pt>
                <c:pt idx="154">
                  <c:v>-23.1127</c:v>
                </c:pt>
                <c:pt idx="155">
                  <c:v>-24.250900000000001</c:v>
                </c:pt>
                <c:pt idx="156">
                  <c:v>-22.5335</c:v>
                </c:pt>
                <c:pt idx="157">
                  <c:v>-24.018899999999999</c:v>
                </c:pt>
                <c:pt idx="158">
                  <c:v>-22.996200000000002</c:v>
                </c:pt>
                <c:pt idx="159">
                  <c:v>-23.940799999999999</c:v>
                </c:pt>
                <c:pt idx="160">
                  <c:v>-23.169</c:v>
                </c:pt>
                <c:pt idx="161">
                  <c:v>-24.403099999999998</c:v>
                </c:pt>
                <c:pt idx="162">
                  <c:v>-22.839700000000001</c:v>
                </c:pt>
                <c:pt idx="163">
                  <c:v>-23.572500000000002</c:v>
                </c:pt>
                <c:pt idx="164">
                  <c:v>-24.015899999999998</c:v>
                </c:pt>
                <c:pt idx="165">
                  <c:v>-22.781199999999998</c:v>
                </c:pt>
                <c:pt idx="166">
                  <c:v>-23.205200000000001</c:v>
                </c:pt>
                <c:pt idx="167">
                  <c:v>-23.532900000000001</c:v>
                </c:pt>
                <c:pt idx="168">
                  <c:v>-24.072900000000001</c:v>
                </c:pt>
                <c:pt idx="169">
                  <c:v>-23.8217</c:v>
                </c:pt>
                <c:pt idx="170">
                  <c:v>-24.265000000000001</c:v>
                </c:pt>
                <c:pt idx="171">
                  <c:v>-23.666599999999999</c:v>
                </c:pt>
                <c:pt idx="172">
                  <c:v>-24.206299999999999</c:v>
                </c:pt>
                <c:pt idx="173">
                  <c:v>-23.5307</c:v>
                </c:pt>
                <c:pt idx="174">
                  <c:v>-24.861599999999999</c:v>
                </c:pt>
                <c:pt idx="175">
                  <c:v>-23.645600000000002</c:v>
                </c:pt>
                <c:pt idx="176">
                  <c:v>-23.9924</c:v>
                </c:pt>
                <c:pt idx="177">
                  <c:v>-23.528700000000001</c:v>
                </c:pt>
                <c:pt idx="178">
                  <c:v>-24.261399999999998</c:v>
                </c:pt>
                <c:pt idx="179">
                  <c:v>-21.675999999999998</c:v>
                </c:pt>
                <c:pt idx="180">
                  <c:v>-22.6404</c:v>
                </c:pt>
                <c:pt idx="181">
                  <c:v>-21.6753</c:v>
                </c:pt>
                <c:pt idx="182">
                  <c:v>-22.659099999999999</c:v>
                </c:pt>
                <c:pt idx="183">
                  <c:v>-23.430599999999998</c:v>
                </c:pt>
                <c:pt idx="184">
                  <c:v>-22.446300000000001</c:v>
                </c:pt>
                <c:pt idx="185">
                  <c:v>-21.828800000000001</c:v>
                </c:pt>
                <c:pt idx="186">
                  <c:v>-22.793199999999999</c:v>
                </c:pt>
                <c:pt idx="187">
                  <c:v>-21.847100000000001</c:v>
                </c:pt>
                <c:pt idx="188">
                  <c:v>-23.7377</c:v>
                </c:pt>
                <c:pt idx="189">
                  <c:v>-24.489599999999999</c:v>
                </c:pt>
                <c:pt idx="190">
                  <c:v>-24.026</c:v>
                </c:pt>
                <c:pt idx="191">
                  <c:v>-22.636800000000001</c:v>
                </c:pt>
                <c:pt idx="192">
                  <c:v>-22.906600000000001</c:v>
                </c:pt>
                <c:pt idx="193">
                  <c:v>-24.3916</c:v>
                </c:pt>
                <c:pt idx="194">
                  <c:v>-23.696899999999999</c:v>
                </c:pt>
                <c:pt idx="195">
                  <c:v>-24.0045</c:v>
                </c:pt>
                <c:pt idx="196">
                  <c:v>-22.788799999999998</c:v>
                </c:pt>
                <c:pt idx="197">
                  <c:v>-22.383299999999998</c:v>
                </c:pt>
                <c:pt idx="198">
                  <c:v>-24.216100000000001</c:v>
                </c:pt>
                <c:pt idx="199">
                  <c:v>-22.614100000000001</c:v>
                </c:pt>
                <c:pt idx="200">
                  <c:v>-24.1189</c:v>
                </c:pt>
                <c:pt idx="201">
                  <c:v>-23.347000000000001</c:v>
                </c:pt>
                <c:pt idx="202">
                  <c:v>-23.230899999999998</c:v>
                </c:pt>
                <c:pt idx="203">
                  <c:v>-21.938300000000002</c:v>
                </c:pt>
                <c:pt idx="204">
                  <c:v>-22.8062</c:v>
                </c:pt>
                <c:pt idx="205">
                  <c:v>-23.9057</c:v>
                </c:pt>
                <c:pt idx="206">
                  <c:v>-22.535599999999999</c:v>
                </c:pt>
                <c:pt idx="207">
                  <c:v>-24.5609</c:v>
                </c:pt>
                <c:pt idx="208">
                  <c:v>-24.348400000000002</c:v>
                </c:pt>
                <c:pt idx="209">
                  <c:v>-23.035900000000002</c:v>
                </c:pt>
                <c:pt idx="210">
                  <c:v>-23.903600000000001</c:v>
                </c:pt>
                <c:pt idx="211">
                  <c:v>-23.382300000000001</c:v>
                </c:pt>
                <c:pt idx="212">
                  <c:v>-24.192399999999999</c:v>
                </c:pt>
                <c:pt idx="213">
                  <c:v>-24.1342</c:v>
                </c:pt>
                <c:pt idx="214">
                  <c:v>-23.034400000000002</c:v>
                </c:pt>
                <c:pt idx="215">
                  <c:v>-23.304500000000001</c:v>
                </c:pt>
                <c:pt idx="216">
                  <c:v>-22.783000000000001</c:v>
                </c:pt>
                <c:pt idx="217">
                  <c:v>-23.631799999999998</c:v>
                </c:pt>
                <c:pt idx="218">
                  <c:v>-24.056000000000001</c:v>
                </c:pt>
                <c:pt idx="219">
                  <c:v>-22.7439</c:v>
                </c:pt>
                <c:pt idx="220">
                  <c:v>-23.0716</c:v>
                </c:pt>
                <c:pt idx="221">
                  <c:v>-23.901199999999999</c:v>
                </c:pt>
                <c:pt idx="222">
                  <c:v>-22.068000000000001</c:v>
                </c:pt>
                <c:pt idx="223">
                  <c:v>-23.8811</c:v>
                </c:pt>
                <c:pt idx="224">
                  <c:v>-23.5336</c:v>
                </c:pt>
                <c:pt idx="225">
                  <c:v>-24.1311</c:v>
                </c:pt>
                <c:pt idx="226">
                  <c:v>-21.738800000000001</c:v>
                </c:pt>
                <c:pt idx="227">
                  <c:v>-23.146699999999999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03A-104C-8FBD-6B0BF7AE9A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6913952"/>
        <c:axId val="1036463248"/>
      </c:scatterChart>
      <c:valAx>
        <c:axId val="1036913952"/>
        <c:scaling>
          <c:orientation val="minMax"/>
        </c:scaling>
        <c:delete val="0"/>
        <c:axPos val="b"/>
        <c:numFmt formatCode="0_);[Red]\(0\)" sourceLinked="1"/>
        <c:majorTickMark val="out"/>
        <c:minorTickMark val="in"/>
        <c:tickLblPos val="high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%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36463248"/>
        <c:crosses val="autoZero"/>
        <c:crossBetween val="midCat"/>
      </c:valAx>
      <c:valAx>
        <c:axId val="1036463248"/>
        <c:scaling>
          <c:orientation val="minMax"/>
          <c:max val="-1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%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zh-CN">
                    <a:latin typeface="Arial" panose="020B0604020202020204" pitchFamily="34" charset="0"/>
                    <a:cs typeface="Arial" panose="020B0604020202020204" pitchFamily="34" charset="0"/>
                  </a:rPr>
                  <a:t>δ</a:t>
                </a:r>
                <a:r>
                  <a:rPr lang="en-US" altLang="zh-CN" baseline="30%">
                    <a:latin typeface="Arial" panose="020B0604020202020204" pitchFamily="34" charset="0"/>
                    <a:cs typeface="Arial" panose="020B0604020202020204" pitchFamily="34" charset="0"/>
                  </a:rPr>
                  <a:t>13</a:t>
                </a:r>
                <a:r>
                  <a:rPr lang="en-US" altLang="zh-CN">
                    <a:latin typeface="Arial" panose="020B0604020202020204" pitchFamily="34" charset="0"/>
                    <a:cs typeface="Arial" panose="020B0604020202020204" pitchFamily="34" charset="0"/>
                  </a:rPr>
                  <a:t>C</a:t>
                </a:r>
                <a:r>
                  <a:rPr lang="en-US" altLang="zh-CN" baseline="-25%">
                    <a:latin typeface="Arial" panose="020B0604020202020204" pitchFamily="34" charset="0"/>
                    <a:cs typeface="Arial" panose="020B0604020202020204" pitchFamily="34" charset="0"/>
                  </a:rPr>
                  <a:t>o</a:t>
                </a:r>
                <a:r>
                  <a:rPr lang="zh-CN" altLang="en-US">
                    <a:latin typeface="Arial" panose="020B0604020202020204" pitchFamily="34" charset="0"/>
                    <a:cs typeface="Arial" panose="020B0604020202020204" pitchFamily="34" charset="0"/>
                  </a:rPr>
                  <a:t> </a:t>
                </a:r>
                <a:r>
                  <a:rPr lang="en-US" altLang="zh-CN">
                    <a:latin typeface="Arial" panose="020B0604020202020204" pitchFamily="34" charset="0"/>
                    <a:cs typeface="Arial" panose="020B0604020202020204" pitchFamily="34" charset="0"/>
                  </a:rPr>
                  <a:t>(‰)</a:t>
                </a:r>
                <a:endParaRPr lang="en-US"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%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%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36913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间冰期</c:v>
          </c:tx>
          <c:spPr>
            <a:ln w="28575">
              <a:noFill/>
            </a:ln>
          </c:spPr>
          <c:trendline>
            <c:trendlineType val="power"/>
            <c:dispRSqr val="1"/>
            <c:dispEq val="1"/>
            <c:trendlineLbl>
              <c:layout>
                <c:manualLayout>
                  <c:x val="2.8476596675415574E-2"/>
                  <c:y val="-0.30195574511519391"/>
                </c:manualLayout>
              </c:layout>
              <c:numFmt formatCode="General" sourceLinked="0"/>
              <c:txPr>
                <a:bodyPr/>
                <a:lstStyle/>
                <a:p>
                  <a:pPr>
                    <a:defRPr sz="1000" b="0" i="0" u="none" strike="noStrike" baseline="0%">
                      <a:solidFill>
                        <a:srgbClr val="000000"/>
                      </a:solidFill>
                      <a:latin typeface="宋体"/>
                      <a:ea typeface="宋体"/>
                      <a:cs typeface="宋体"/>
                    </a:defRPr>
                  </a:pPr>
                  <a:endParaRPr lang="en-US"/>
                </a:p>
              </c:txPr>
            </c:trendlineLbl>
          </c:trendline>
          <c:xVal>
            <c:numRef>
              <c:f>'[2]冰期-间冰期'!$F$2:$F$31</c:f>
              <c:numCache>
                <c:formatCode>General</c:formatCode>
                <c:ptCount val="30"/>
                <c:pt idx="0">
                  <c:v>17.540000000000003</c:v>
                </c:pt>
                <c:pt idx="1">
                  <c:v>15.89</c:v>
                </c:pt>
                <c:pt idx="2">
                  <c:v>14.350000000000001</c:v>
                </c:pt>
                <c:pt idx="3">
                  <c:v>16.420000000000002</c:v>
                </c:pt>
                <c:pt idx="4">
                  <c:v>14.33</c:v>
                </c:pt>
                <c:pt idx="5">
                  <c:v>14.07</c:v>
                </c:pt>
                <c:pt idx="6">
                  <c:v>17.04</c:v>
                </c:pt>
                <c:pt idx="7">
                  <c:v>15.27</c:v>
                </c:pt>
                <c:pt idx="8">
                  <c:v>15.98</c:v>
                </c:pt>
                <c:pt idx="9">
                  <c:v>15.17</c:v>
                </c:pt>
                <c:pt idx="10">
                  <c:v>15.17</c:v>
                </c:pt>
                <c:pt idx="11">
                  <c:v>14.599999999999998</c:v>
                </c:pt>
                <c:pt idx="12">
                  <c:v>15.790000000000003</c:v>
                </c:pt>
                <c:pt idx="13">
                  <c:v>16.940000000000001</c:v>
                </c:pt>
                <c:pt idx="14">
                  <c:v>17.029999999999998</c:v>
                </c:pt>
                <c:pt idx="15">
                  <c:v>19.309999999999999</c:v>
                </c:pt>
                <c:pt idx="16">
                  <c:v>15.240000000000002</c:v>
                </c:pt>
                <c:pt idx="17">
                  <c:v>15.240000000000002</c:v>
                </c:pt>
                <c:pt idx="18">
                  <c:v>17.690000000000001</c:v>
                </c:pt>
                <c:pt idx="19">
                  <c:v>16.520000000000003</c:v>
                </c:pt>
                <c:pt idx="20">
                  <c:v>16.5</c:v>
                </c:pt>
                <c:pt idx="21">
                  <c:v>16.270000000000003</c:v>
                </c:pt>
                <c:pt idx="22">
                  <c:v>17.580000000000002</c:v>
                </c:pt>
                <c:pt idx="23">
                  <c:v>17.27</c:v>
                </c:pt>
                <c:pt idx="24">
                  <c:v>18.63</c:v>
                </c:pt>
                <c:pt idx="25">
                  <c:v>17.060000000000002</c:v>
                </c:pt>
                <c:pt idx="26">
                  <c:v>18.38</c:v>
                </c:pt>
                <c:pt idx="27">
                  <c:v>15.72</c:v>
                </c:pt>
                <c:pt idx="28">
                  <c:v>16.659999999999997</c:v>
                </c:pt>
                <c:pt idx="29">
                  <c:v>16.77</c:v>
                </c:pt>
              </c:numCache>
            </c:numRef>
          </c:xVal>
          <c:yVal>
            <c:numRef>
              <c:f>'[2]冰期-间冰期'!$I$2:$I$31</c:f>
              <c:numCache>
                <c:formatCode>General</c:formatCode>
                <c:ptCount val="30"/>
                <c:pt idx="0">
                  <c:v>531.02464439655648</c:v>
                </c:pt>
                <c:pt idx="1">
                  <c:v>796.62673836281044</c:v>
                </c:pt>
                <c:pt idx="2">
                  <c:v>1716.8274059262712</c:v>
                </c:pt>
                <c:pt idx="3">
                  <c:v>724.02372902303603</c:v>
                </c:pt>
                <c:pt idx="4">
                  <c:v>1689.4727456895848</c:v>
                </c:pt>
                <c:pt idx="5">
                  <c:v>2146.3969932326622</c:v>
                </c:pt>
                <c:pt idx="6">
                  <c:v>533.65953167779605</c:v>
                </c:pt>
                <c:pt idx="7">
                  <c:v>899.42849520324194</c:v>
                </c:pt>
                <c:pt idx="8">
                  <c:v>707.10891430870811</c:v>
                </c:pt>
                <c:pt idx="9">
                  <c:v>983.4683697548561</c:v>
                </c:pt>
                <c:pt idx="10">
                  <c:v>953.82960240193518</c:v>
                </c:pt>
                <c:pt idx="11">
                  <c:v>1276.586788174621</c:v>
                </c:pt>
                <c:pt idx="12">
                  <c:v>793.96062911749368</c:v>
                </c:pt>
                <c:pt idx="13">
                  <c:v>566.59830468504504</c:v>
                </c:pt>
                <c:pt idx="14">
                  <c:v>566.64144972894906</c:v>
                </c:pt>
                <c:pt idx="15">
                  <c:v>287.9120728317987</c:v>
                </c:pt>
                <c:pt idx="16">
                  <c:v>972.55317478770542</c:v>
                </c:pt>
                <c:pt idx="17">
                  <c:v>993.82152361777526</c:v>
                </c:pt>
                <c:pt idx="18">
                  <c:v>496.72366862083754</c:v>
                </c:pt>
                <c:pt idx="19">
                  <c:v>656.36274678170048</c:v>
                </c:pt>
                <c:pt idx="20">
                  <c:v>687.40573754926334</c:v>
                </c:pt>
                <c:pt idx="21">
                  <c:v>745.59687232059389</c:v>
                </c:pt>
                <c:pt idx="22">
                  <c:v>568.41618352708952</c:v>
                </c:pt>
                <c:pt idx="23">
                  <c:v>598.08562878616897</c:v>
                </c:pt>
                <c:pt idx="24">
                  <c:v>381.04711646627368</c:v>
                </c:pt>
                <c:pt idx="25">
                  <c:v>547.60306346143295</c:v>
                </c:pt>
                <c:pt idx="26">
                  <c:v>392.18752922506457</c:v>
                </c:pt>
                <c:pt idx="27">
                  <c:v>842.44301210018</c:v>
                </c:pt>
                <c:pt idx="28">
                  <c:v>661.18611758817303</c:v>
                </c:pt>
                <c:pt idx="29">
                  <c:v>629.70624443150791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C47-A747-877D-004D25119818}"/>
            </c:ext>
          </c:extLst>
        </c:ser>
        <c:ser>
          <c:idx val="1"/>
          <c:order val="1"/>
          <c:tx>
            <c:v>冰期</c:v>
          </c:tx>
          <c:spPr>
            <a:ln w="28575">
              <a:noFill/>
            </a:ln>
          </c:spPr>
          <c:marker>
            <c:symbol val="square"/>
            <c:size val="5"/>
          </c:marker>
          <c:trendline>
            <c:trendlineType val="power"/>
            <c:dispRSqr val="1"/>
            <c:dispEq val="1"/>
            <c:trendlineLbl>
              <c:layout>
                <c:manualLayout>
                  <c:x val="-0.26838363954505695"/>
                  <c:y val="-1.0858850976961213E-2"/>
                </c:manualLayout>
              </c:layout>
              <c:numFmt formatCode="General" sourceLinked="0"/>
              <c:txPr>
                <a:bodyPr/>
                <a:lstStyle/>
                <a:p>
                  <a:pPr>
                    <a:defRPr sz="1000" b="0" i="0" u="none" strike="noStrike" baseline="0%">
                      <a:solidFill>
                        <a:srgbClr val="000000"/>
                      </a:solidFill>
                      <a:latin typeface="宋体"/>
                      <a:ea typeface="宋体"/>
                      <a:cs typeface="宋体"/>
                    </a:defRPr>
                  </a:pPr>
                  <a:endParaRPr lang="en-US"/>
                </a:p>
              </c:txPr>
            </c:trendlineLbl>
          </c:trendline>
          <c:xVal>
            <c:numRef>
              <c:f>'[2]冰期-间冰期'!$P$2:$P$121</c:f>
              <c:numCache>
                <c:formatCode>General</c:formatCode>
                <c:ptCount val="120"/>
                <c:pt idx="0">
                  <c:v>17.54</c:v>
                </c:pt>
                <c:pt idx="1">
                  <c:v>17.399999999999999</c:v>
                </c:pt>
                <c:pt idx="2">
                  <c:v>17.700000000000003</c:v>
                </c:pt>
                <c:pt idx="3">
                  <c:v>17.419999999999998</c:v>
                </c:pt>
                <c:pt idx="4">
                  <c:v>18.27</c:v>
                </c:pt>
                <c:pt idx="5">
                  <c:v>18.29</c:v>
                </c:pt>
                <c:pt idx="6">
                  <c:v>15.54</c:v>
                </c:pt>
                <c:pt idx="7">
                  <c:v>15.620000000000001</c:v>
                </c:pt>
                <c:pt idx="8">
                  <c:v>14.849999999999998</c:v>
                </c:pt>
                <c:pt idx="9">
                  <c:v>15.45</c:v>
                </c:pt>
                <c:pt idx="10">
                  <c:v>14.229999999999999</c:v>
                </c:pt>
                <c:pt idx="11">
                  <c:v>15.5</c:v>
                </c:pt>
                <c:pt idx="12">
                  <c:v>14.649999999999999</c:v>
                </c:pt>
                <c:pt idx="13">
                  <c:v>15.11</c:v>
                </c:pt>
                <c:pt idx="14">
                  <c:v>14.99</c:v>
                </c:pt>
                <c:pt idx="15">
                  <c:v>14.620000000000001</c:v>
                </c:pt>
                <c:pt idx="16">
                  <c:v>15.379999999999999</c:v>
                </c:pt>
                <c:pt idx="17">
                  <c:v>14.780000000000001</c:v>
                </c:pt>
                <c:pt idx="18">
                  <c:v>14.090000000000002</c:v>
                </c:pt>
                <c:pt idx="19">
                  <c:v>14.16</c:v>
                </c:pt>
                <c:pt idx="20">
                  <c:v>14.55</c:v>
                </c:pt>
                <c:pt idx="21">
                  <c:v>15.68</c:v>
                </c:pt>
                <c:pt idx="22">
                  <c:v>18.47</c:v>
                </c:pt>
                <c:pt idx="23">
                  <c:v>15.89</c:v>
                </c:pt>
                <c:pt idx="24">
                  <c:v>17.779999999999998</c:v>
                </c:pt>
                <c:pt idx="25">
                  <c:v>17.22</c:v>
                </c:pt>
                <c:pt idx="26">
                  <c:v>17.559999999999999</c:v>
                </c:pt>
                <c:pt idx="27">
                  <c:v>16.64</c:v>
                </c:pt>
                <c:pt idx="28">
                  <c:v>17.270000000000003</c:v>
                </c:pt>
                <c:pt idx="29">
                  <c:v>16.77</c:v>
                </c:pt>
                <c:pt idx="30">
                  <c:v>17.68</c:v>
                </c:pt>
                <c:pt idx="31">
                  <c:v>18.299999999999997</c:v>
                </c:pt>
                <c:pt idx="32">
                  <c:v>17.68</c:v>
                </c:pt>
                <c:pt idx="33">
                  <c:v>18.47</c:v>
                </c:pt>
                <c:pt idx="34">
                  <c:v>18.25</c:v>
                </c:pt>
                <c:pt idx="35">
                  <c:v>16.009999999999998</c:v>
                </c:pt>
                <c:pt idx="36">
                  <c:v>15.849999999999998</c:v>
                </c:pt>
                <c:pt idx="37">
                  <c:v>16.23</c:v>
                </c:pt>
                <c:pt idx="38">
                  <c:v>16.579999999999998</c:v>
                </c:pt>
                <c:pt idx="39">
                  <c:v>17.880000000000003</c:v>
                </c:pt>
                <c:pt idx="40">
                  <c:v>18.16</c:v>
                </c:pt>
                <c:pt idx="41">
                  <c:v>16.75</c:v>
                </c:pt>
                <c:pt idx="42">
                  <c:v>17.650000000000002</c:v>
                </c:pt>
                <c:pt idx="43">
                  <c:v>17.77</c:v>
                </c:pt>
                <c:pt idx="44">
                  <c:v>17.599999999999998</c:v>
                </c:pt>
                <c:pt idx="45">
                  <c:v>17.97</c:v>
                </c:pt>
                <c:pt idx="46">
                  <c:v>17.25</c:v>
                </c:pt>
                <c:pt idx="47">
                  <c:v>17.5</c:v>
                </c:pt>
                <c:pt idx="48">
                  <c:v>16.73</c:v>
                </c:pt>
                <c:pt idx="49">
                  <c:v>18.420000000000002</c:v>
                </c:pt>
                <c:pt idx="50">
                  <c:v>17.2</c:v>
                </c:pt>
                <c:pt idx="51">
                  <c:v>17.099999999999998</c:v>
                </c:pt>
                <c:pt idx="52">
                  <c:v>18.059999999999999</c:v>
                </c:pt>
                <c:pt idx="53">
                  <c:v>18.350000000000001</c:v>
                </c:pt>
                <c:pt idx="54">
                  <c:v>19.559999999999999</c:v>
                </c:pt>
                <c:pt idx="55">
                  <c:v>21.810000000000002</c:v>
                </c:pt>
                <c:pt idx="56">
                  <c:v>20.95</c:v>
                </c:pt>
                <c:pt idx="57">
                  <c:v>18.590000000000003</c:v>
                </c:pt>
                <c:pt idx="58">
                  <c:v>16.009999999999998</c:v>
                </c:pt>
                <c:pt idx="59">
                  <c:v>15.849999999999998</c:v>
                </c:pt>
                <c:pt idx="60">
                  <c:v>16.23</c:v>
                </c:pt>
                <c:pt idx="61">
                  <c:v>16.579999999999998</c:v>
                </c:pt>
                <c:pt idx="62">
                  <c:v>20.340000000000003</c:v>
                </c:pt>
                <c:pt idx="63">
                  <c:v>19.96</c:v>
                </c:pt>
                <c:pt idx="64">
                  <c:v>19.95</c:v>
                </c:pt>
                <c:pt idx="65">
                  <c:v>19.7</c:v>
                </c:pt>
                <c:pt idx="66">
                  <c:v>19.64</c:v>
                </c:pt>
                <c:pt idx="67">
                  <c:v>19.369999999999997</c:v>
                </c:pt>
                <c:pt idx="68">
                  <c:v>19.16</c:v>
                </c:pt>
                <c:pt idx="69">
                  <c:v>19.049999999999997</c:v>
                </c:pt>
                <c:pt idx="70">
                  <c:v>17.880000000000003</c:v>
                </c:pt>
                <c:pt idx="71">
                  <c:v>18.16</c:v>
                </c:pt>
                <c:pt idx="72">
                  <c:v>18.82</c:v>
                </c:pt>
                <c:pt idx="73">
                  <c:v>16.75</c:v>
                </c:pt>
                <c:pt idx="74">
                  <c:v>17.650000000000002</c:v>
                </c:pt>
                <c:pt idx="75">
                  <c:v>19.239999999999998</c:v>
                </c:pt>
                <c:pt idx="76">
                  <c:v>17.77</c:v>
                </c:pt>
                <c:pt idx="77">
                  <c:v>17.599999999999998</c:v>
                </c:pt>
                <c:pt idx="78">
                  <c:v>17.97</c:v>
                </c:pt>
                <c:pt idx="79">
                  <c:v>20.56</c:v>
                </c:pt>
                <c:pt idx="80">
                  <c:v>20.420000000000002</c:v>
                </c:pt>
                <c:pt idx="81">
                  <c:v>20.47</c:v>
                </c:pt>
                <c:pt idx="82">
                  <c:v>22.11</c:v>
                </c:pt>
                <c:pt idx="83">
                  <c:v>21.68</c:v>
                </c:pt>
                <c:pt idx="84">
                  <c:v>17.25</c:v>
                </c:pt>
                <c:pt idx="85">
                  <c:v>18.829999999999998</c:v>
                </c:pt>
                <c:pt idx="86">
                  <c:v>19.86</c:v>
                </c:pt>
                <c:pt idx="87">
                  <c:v>21.580000000000002</c:v>
                </c:pt>
                <c:pt idx="88">
                  <c:v>22.66</c:v>
                </c:pt>
                <c:pt idx="89">
                  <c:v>22.7</c:v>
                </c:pt>
                <c:pt idx="90">
                  <c:v>21.48</c:v>
                </c:pt>
                <c:pt idx="91">
                  <c:v>21.79</c:v>
                </c:pt>
                <c:pt idx="92">
                  <c:v>21.060000000000002</c:v>
                </c:pt>
                <c:pt idx="93">
                  <c:v>19.95</c:v>
                </c:pt>
                <c:pt idx="94">
                  <c:v>19.489999999999998</c:v>
                </c:pt>
                <c:pt idx="95">
                  <c:v>17.5</c:v>
                </c:pt>
                <c:pt idx="96">
                  <c:v>16.73</c:v>
                </c:pt>
                <c:pt idx="97">
                  <c:v>19.079999999999998</c:v>
                </c:pt>
                <c:pt idx="98">
                  <c:v>19.7</c:v>
                </c:pt>
                <c:pt idx="99">
                  <c:v>18.420000000000002</c:v>
                </c:pt>
                <c:pt idx="100">
                  <c:v>17.2</c:v>
                </c:pt>
                <c:pt idx="101">
                  <c:v>17.099999999999998</c:v>
                </c:pt>
                <c:pt idx="102">
                  <c:v>18.059999999999999</c:v>
                </c:pt>
                <c:pt idx="103">
                  <c:v>18.350000000000001</c:v>
                </c:pt>
                <c:pt idx="104">
                  <c:v>17.400000000000002</c:v>
                </c:pt>
                <c:pt idx="105">
                  <c:v>18.309999999999999</c:v>
                </c:pt>
                <c:pt idx="106">
                  <c:v>17.89</c:v>
                </c:pt>
                <c:pt idx="107">
                  <c:v>17.63</c:v>
                </c:pt>
                <c:pt idx="108">
                  <c:v>17.020000000000003</c:v>
                </c:pt>
                <c:pt idx="109">
                  <c:v>16.96</c:v>
                </c:pt>
                <c:pt idx="110">
                  <c:v>16.91</c:v>
                </c:pt>
                <c:pt idx="111">
                  <c:v>16.740000000000002</c:v>
                </c:pt>
                <c:pt idx="112">
                  <c:v>17.520000000000003</c:v>
                </c:pt>
                <c:pt idx="113">
                  <c:v>17.809999999999999</c:v>
                </c:pt>
                <c:pt idx="114">
                  <c:v>17.029999999999998</c:v>
                </c:pt>
                <c:pt idx="115">
                  <c:v>16.990000000000002</c:v>
                </c:pt>
              </c:numCache>
            </c:numRef>
          </c:xVal>
          <c:yVal>
            <c:numRef>
              <c:f>'[2]冰期-间冰期'!$S$2:$S$71</c:f>
              <c:numCache>
                <c:formatCode>General</c:formatCode>
                <c:ptCount val="70"/>
                <c:pt idx="0">
                  <c:v>325.37978638792003</c:v>
                </c:pt>
                <c:pt idx="1">
                  <c:v>355.61736863910318</c:v>
                </c:pt>
                <c:pt idx="2">
                  <c:v>331.70599294951137</c:v>
                </c:pt>
                <c:pt idx="3">
                  <c:v>362.88648991479198</c:v>
                </c:pt>
                <c:pt idx="4">
                  <c:v>311.17887221121202</c:v>
                </c:pt>
                <c:pt idx="5">
                  <c:v>323.31593740708013</c:v>
                </c:pt>
                <c:pt idx="6">
                  <c:v>752.73617358466709</c:v>
                </c:pt>
                <c:pt idx="7">
                  <c:v>735.38014622614389</c:v>
                </c:pt>
                <c:pt idx="8">
                  <c:v>986.62261356309705</c:v>
                </c:pt>
                <c:pt idx="9">
                  <c:v>784.82506241010219</c:v>
                </c:pt>
                <c:pt idx="10">
                  <c:v>1387.1370360678311</c:v>
                </c:pt>
                <c:pt idx="11">
                  <c:v>740.00550039337054</c:v>
                </c:pt>
                <c:pt idx="12">
                  <c:v>1044.4332392050976</c:v>
                </c:pt>
                <c:pt idx="13">
                  <c:v>838.19752786214337</c:v>
                </c:pt>
                <c:pt idx="14">
                  <c:v>822.84604523272264</c:v>
                </c:pt>
                <c:pt idx="15">
                  <c:v>956.76015725463003</c:v>
                </c:pt>
                <c:pt idx="16">
                  <c:v>655.49858603368386</c:v>
                </c:pt>
                <c:pt idx="17">
                  <c:v>834.00168869027277</c:v>
                </c:pt>
                <c:pt idx="18">
                  <c:v>1283.3449857623827</c:v>
                </c:pt>
                <c:pt idx="19">
                  <c:v>1172.4454326338785</c:v>
                </c:pt>
                <c:pt idx="20">
                  <c:v>936.0478353633888</c:v>
                </c:pt>
                <c:pt idx="21">
                  <c:v>599.47361996212828</c:v>
                </c:pt>
                <c:pt idx="22">
                  <c:v>272.6719500545758</c:v>
                </c:pt>
                <c:pt idx="23">
                  <c:v>491.49453714082642</c:v>
                </c:pt>
                <c:pt idx="24">
                  <c:v>310.40422200113312</c:v>
                </c:pt>
                <c:pt idx="25">
                  <c:v>338.68394205922624</c:v>
                </c:pt>
                <c:pt idx="26">
                  <c:v>322.3240026047352</c:v>
                </c:pt>
                <c:pt idx="27">
                  <c:v>415.1488001045584</c:v>
                </c:pt>
                <c:pt idx="28">
                  <c:v>371.98551357205429</c:v>
                </c:pt>
                <c:pt idx="29">
                  <c:v>447.85572954418791</c:v>
                </c:pt>
                <c:pt idx="30">
                  <c:v>349.02256398916279</c:v>
                </c:pt>
                <c:pt idx="31">
                  <c:v>326.94378082675757</c:v>
                </c:pt>
                <c:pt idx="32">
                  <c:v>326.91089611366215</c:v>
                </c:pt>
                <c:pt idx="33">
                  <c:v>250.3022298121015</c:v>
                </c:pt>
                <c:pt idx="34">
                  <c:v>267.8739206470043</c:v>
                </c:pt>
                <c:pt idx="35">
                  <c:v>658.4803620400744</c:v>
                </c:pt>
                <c:pt idx="36">
                  <c:v>672.26379929426093</c:v>
                </c:pt>
                <c:pt idx="37">
                  <c:v>630.28679628672614</c:v>
                </c:pt>
                <c:pt idx="38">
                  <c:v>535.66077421982891</c:v>
                </c:pt>
                <c:pt idx="39">
                  <c:v>324.83362718112187</c:v>
                </c:pt>
                <c:pt idx="40">
                  <c:v>285.22369382039193</c:v>
                </c:pt>
                <c:pt idx="41">
                  <c:v>537.78353804314349</c:v>
                </c:pt>
                <c:pt idx="42">
                  <c:v>392.21471087634819</c:v>
                </c:pt>
                <c:pt idx="43">
                  <c:v>359.12444758236461</c:v>
                </c:pt>
                <c:pt idx="44">
                  <c:v>327.25996268125851</c:v>
                </c:pt>
                <c:pt idx="45">
                  <c:v>299.27168345296275</c:v>
                </c:pt>
                <c:pt idx="46">
                  <c:v>351.26622961715663</c:v>
                </c:pt>
                <c:pt idx="47">
                  <c:v>409.20906203251707</c:v>
                </c:pt>
                <c:pt idx="48">
                  <c:v>523.83037742852093</c:v>
                </c:pt>
                <c:pt idx="49">
                  <c:v>310.78081324396032</c:v>
                </c:pt>
                <c:pt idx="50">
                  <c:v>438.37785285646407</c:v>
                </c:pt>
                <c:pt idx="51">
                  <c:v>451.03545394659324</c:v>
                </c:pt>
                <c:pt idx="52">
                  <c:v>344.12144705016317</c:v>
                </c:pt>
                <c:pt idx="53">
                  <c:v>326.71357785154856</c:v>
                </c:pt>
                <c:pt idx="54">
                  <c:v>281.0367009332391</c:v>
                </c:pt>
                <c:pt idx="55">
                  <c:v>132.89282640936767</c:v>
                </c:pt>
                <c:pt idx="56">
                  <c:v>165.52233087519963</c:v>
                </c:pt>
                <c:pt idx="57">
                  <c:v>268.84723942249099</c:v>
                </c:pt>
                <c:pt idx="58">
                  <c:v>692.24858573443726</c:v>
                </c:pt>
                <c:pt idx="59">
                  <c:v>706.73886592473582</c:v>
                </c:pt>
                <c:pt idx="60">
                  <c:v>662.60919609630184</c:v>
                </c:pt>
                <c:pt idx="61">
                  <c:v>563.13055751315358</c:v>
                </c:pt>
                <c:pt idx="62">
                  <c:v>181.78464233596517</c:v>
                </c:pt>
                <c:pt idx="63">
                  <c:v>173.46053972271574</c:v>
                </c:pt>
                <c:pt idx="64">
                  <c:v>201.89387858323087</c:v>
                </c:pt>
                <c:pt idx="65">
                  <c:v>233.89449885583554</c:v>
                </c:pt>
                <c:pt idx="66">
                  <c:v>218.25893991215773</c:v>
                </c:pt>
                <c:pt idx="67">
                  <c:v>242.99781397327513</c:v>
                </c:pt>
                <c:pt idx="68">
                  <c:v>248.38525076776193</c:v>
                </c:pt>
                <c:pt idx="69">
                  <c:v>238.99241827805253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C47-A747-877D-004D251198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3760127"/>
        <c:axId val="1"/>
      </c:scatterChart>
      <c:valAx>
        <c:axId val="1403760127"/>
        <c:scaling>
          <c:orientation val="minMax"/>
          <c:max val="25"/>
          <c:min val="12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%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logBase val="10"/>
          <c:orientation val="minMax"/>
          <c:min val="100"/>
        </c:scaling>
        <c:delete val="0"/>
        <c:axPos val="l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%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1403760127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3656817060458701"/>
          <c:y val="0.12963374141763026"/>
          <c:w val="0.24363408719997875"/>
          <c:h val="0.3333439065024778"/>
        </c:manualLayout>
      </c:layout>
      <c:overlay val="1"/>
      <c:txPr>
        <a:bodyPr/>
        <a:lstStyle/>
        <a:p>
          <a:pPr>
            <a:defRPr sz="920" b="0" i="0" u="none" strike="noStrike" baseline="0%">
              <a:solidFill>
                <a:srgbClr val="000000"/>
              </a:solidFill>
              <a:latin typeface="宋体"/>
              <a:ea typeface="宋体"/>
              <a:cs typeface="宋体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%">
          <a:solidFill>
            <a:srgbClr val="000000"/>
          </a:solidFill>
          <a:latin typeface="宋体"/>
          <a:ea typeface="宋体"/>
          <a:cs typeface="宋体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portrait"/>
  </c:printSettings>
</c:chartSpace>
</file>

<file path=xl/charts/colors1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2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style1.xml><?xml version="1.0" encoding="utf-8"?>
<cs:chartStyle xmlns:cs="http://schemas.microsoft.com/office/drawing/2012/chartStyle" xmlns:a="http://purl.oclc.org/ooxml/drawingml/main" id="240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25%"/>
            <a:lumOff val="7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%"/>
          <a:lumOff val="25%"/>
        </a:schemeClr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%"/>
            <a:lumOff val="50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25%"/>
            <a:lumOff val="75%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purl.oclc.org/ooxml/drawingml/main" id="240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25%"/>
            <a:lumOff val="7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%"/>
          <a:lumOff val="25%"/>
        </a:schemeClr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%"/>
            <a:lumOff val="50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25%"/>
            <a:lumOff val="75%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purl.oclc.org/ooxml/officeDocument/relationships/chart" Target="../charts/chart3.xml"/><Relationship Id="rId2" Type="http://purl.oclc.org/ooxml/officeDocument/relationships/chart" Target="../charts/chart2.xml"/><Relationship Id="rId1" Type="http://purl.oclc.org/ooxml/officeDocument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purl.oclc.org/ooxml/officeDocument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purl.oclc.org/ooxml/officeDocument/relationships/chart" Target="../charts/chart5.xml"/></Relationships>
</file>

<file path=xl/drawings/drawing1.xml><?xml version="1.0" encoding="utf-8"?>
<xdr:wsDr xmlns:xdr="http://purl.oclc.org/ooxml/drawingml/spreadsheetDrawing" xmlns:a="http://purl.oclc.org/ooxml/drawingml/main">
  <xdr:twoCellAnchor>
    <xdr:from>
      <xdr:col>14</xdr:col>
      <xdr:colOff>444500</xdr:colOff>
      <xdr:row>1</xdr:row>
      <xdr:rowOff>25400</xdr:rowOff>
    </xdr:from>
    <xdr:to>
      <xdr:col>21</xdr:col>
      <xdr:colOff>215900</xdr:colOff>
      <xdr:row>65</xdr:row>
      <xdr:rowOff>152400</xdr:rowOff>
    </xdr:to>
    <xdr:graphicFrame macro="">
      <xdr:nvGraphicFramePr>
        <xdr:cNvPr id="1081" name="图表 1">
          <a:extLst>
            <a:ext uri="{FF2B5EF4-FFF2-40B4-BE49-F238E27FC236}">
              <a16:creationId xmlns:a16="http://schemas.microsoft.com/office/drawing/2014/main" id="{5F2942CA-C301-A3D9-87A9-75AF0045BD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  <xdr:twoCellAnchor>
    <xdr:from>
      <xdr:col>21</xdr:col>
      <xdr:colOff>254000</xdr:colOff>
      <xdr:row>1</xdr:row>
      <xdr:rowOff>165100</xdr:rowOff>
    </xdr:from>
    <xdr:to>
      <xdr:col>32</xdr:col>
      <xdr:colOff>228600</xdr:colOff>
      <xdr:row>37</xdr:row>
      <xdr:rowOff>165100</xdr:rowOff>
    </xdr:to>
    <xdr:graphicFrame macro="">
      <xdr:nvGraphicFramePr>
        <xdr:cNvPr id="1082" name="图表 1">
          <a:extLst>
            <a:ext uri="{FF2B5EF4-FFF2-40B4-BE49-F238E27FC236}">
              <a16:creationId xmlns:a16="http://schemas.microsoft.com/office/drawing/2014/main" id="{67AECCAE-CBFB-B659-DA3B-F9773ABF85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2"/>
        </a:graphicData>
      </a:graphic>
    </xdr:graphicFrame>
    <xdr:clientData/>
  </xdr:twoCellAnchor>
  <xdr:twoCellAnchor>
    <xdr:from>
      <xdr:col>11</xdr:col>
      <xdr:colOff>444500</xdr:colOff>
      <xdr:row>12</xdr:row>
      <xdr:rowOff>12700</xdr:rowOff>
    </xdr:from>
    <xdr:to>
      <xdr:col>28</xdr:col>
      <xdr:colOff>371516</xdr:colOff>
      <xdr:row>25</xdr:row>
      <xdr:rowOff>85293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72AD36-8CF9-B245-81CF-7BCB49CE68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3"/>
        </a:graphicData>
      </a:graphic>
    </xdr:graphicFrame>
    <xdr:clientData/>
  </xdr:twoCellAnchor>
</xdr:wsDr>
</file>

<file path=xl/drawings/drawing2.xml><?xml version="1.0" encoding="utf-8"?>
<xdr:wsDr xmlns:xdr="http://purl.oclc.org/ooxml/drawingml/spreadsheetDrawing" xmlns:a="http://purl.oclc.org/ooxml/drawingml/main">
  <xdr:twoCellAnchor>
    <xdr:from>
      <xdr:col>5</xdr:col>
      <xdr:colOff>228600</xdr:colOff>
      <xdr:row>12</xdr:row>
      <xdr:rowOff>152400</xdr:rowOff>
    </xdr:from>
    <xdr:to>
      <xdr:col>22</xdr:col>
      <xdr:colOff>155616</xdr:colOff>
      <xdr:row>26</xdr:row>
      <xdr:rowOff>34493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123F0A-5D32-EA44-9C48-D7988E06DC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</xdr:wsDr>
</file>

<file path=xl/drawings/drawing3.xml><?xml version="1.0" encoding="utf-8"?>
<xdr:wsDr xmlns:xdr="http://purl.oclc.org/ooxml/drawingml/spreadsheetDrawing" xmlns:a="http://purl.oclc.org/ooxml/drawingml/main">
  <xdr:twoCellAnchor>
    <xdr:from>
      <xdr:col>11</xdr:col>
      <xdr:colOff>571500</xdr:colOff>
      <xdr:row>5</xdr:row>
      <xdr:rowOff>76200</xdr:rowOff>
    </xdr:from>
    <xdr:to>
      <xdr:col>18</xdr:col>
      <xdr:colOff>342900</xdr:colOff>
      <xdr:row>19</xdr:row>
      <xdr:rowOff>152400</xdr:rowOff>
    </xdr:to>
    <xdr:graphicFrame macro="">
      <xdr:nvGraphicFramePr>
        <xdr:cNvPr id="34828" name="图表 1">
          <a:extLst>
            <a:ext uri="{FF2B5EF4-FFF2-40B4-BE49-F238E27FC236}">
              <a16:creationId xmlns:a16="http://schemas.microsoft.com/office/drawing/2014/main" id="{89FEDE53-F38D-26B5-C865-B7A39106BA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purl.oclc.org/ooxml/officeDocument/relationships/externalLinkPath" Target="/Users/jiawei/Documents/Work/2022-%20trace%20element/Lantian%20data/Lantian_redclay_datase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purl.oclc.org/ooxml/officeDocument/relationships/externalLinkPath" Target="/Users/jiawei/Documents/Dataset/CLP%2013C%20dataset/red%20clay/yanyu&#25968;&#25454;/Delta_13C_Data_Yanyu.xls" TargetMode="External"/></Relationships>
</file>

<file path=xl/externalLinks/externalLink1.xml><?xml version="1.0" encoding="utf-8"?>
<externalLink xmlns="http://purl.oclc.org/ooxml/spreadsheetml/main" xmlns:mc="http://schemas.openxmlformats.org/markup-compatibility/2006" xmlns:x14="http://schemas.microsoft.com/office/spreadsheetml/2009/9/main" mc:Ignorable="x14">
  <externalBook xmlns:r="http://purl.oclc.org/ooxml/officeDocument/relationships" r:id="rId1">
    <sheetNames>
      <sheetName val="MS-carbonate"/>
      <sheetName val="stable isotopes"/>
      <sheetName val="trace metal"/>
      <sheetName val="combined dataset"/>
      <sheetName val="remove trend"/>
      <sheetName val="Figure-local"/>
      <sheetName val="Figure-EAM"/>
      <sheetName val="Figure-global"/>
    </sheetNames>
    <sheetDataSet>
      <sheetData sheetId="0"/>
      <sheetData sheetId="1"/>
      <sheetData sheetId="2"/>
      <sheetData sheetId="3">
        <row r="2">
          <cell r="C2">
            <v>2637</v>
          </cell>
          <cell r="E2">
            <v>-6.8810000000000002</v>
          </cell>
        </row>
        <row r="3">
          <cell r="C3">
            <v>2651</v>
          </cell>
          <cell r="E3">
            <v>-6.36</v>
          </cell>
        </row>
        <row r="4">
          <cell r="C4">
            <v>2678.6</v>
          </cell>
          <cell r="E4">
            <v>-6.4690000000000003</v>
          </cell>
        </row>
        <row r="5">
          <cell r="C5">
            <v>2742.8599999999997</v>
          </cell>
          <cell r="E5">
            <v>-6.1195000000000004</v>
          </cell>
        </row>
        <row r="6">
          <cell r="C6">
            <v>2797</v>
          </cell>
          <cell r="E6">
            <v>-6.6084999999999994</v>
          </cell>
        </row>
        <row r="7">
          <cell r="C7">
            <v>2812.5</v>
          </cell>
          <cell r="E7">
            <v>-4.7969999999999997</v>
          </cell>
        </row>
        <row r="8">
          <cell r="C8">
            <v>2868.75</v>
          </cell>
          <cell r="E8">
            <v>-5.93</v>
          </cell>
        </row>
        <row r="9">
          <cell r="C9">
            <v>2900</v>
          </cell>
          <cell r="E9">
            <v>-6.8695000000000004</v>
          </cell>
        </row>
        <row r="10">
          <cell r="C10">
            <v>2931.25</v>
          </cell>
          <cell r="E10">
            <v>-6.9254999999999995</v>
          </cell>
        </row>
        <row r="11">
          <cell r="C11">
            <v>2962.4999999999991</v>
          </cell>
          <cell r="E11">
            <v>-6.9685000000000006</v>
          </cell>
        </row>
        <row r="12">
          <cell r="C12">
            <v>2993.7499999999991</v>
          </cell>
          <cell r="E12">
            <v>-7.4740000000000002</v>
          </cell>
        </row>
        <row r="13">
          <cell r="C13">
            <v>3024.9999999999991</v>
          </cell>
          <cell r="E13">
            <v>-7.08</v>
          </cell>
        </row>
        <row r="14">
          <cell r="C14">
            <v>3056.2499999999995</v>
          </cell>
          <cell r="E14">
            <v>-8.1344999999999992</v>
          </cell>
        </row>
        <row r="15">
          <cell r="C15">
            <v>3087.4999999999995</v>
          </cell>
          <cell r="E15">
            <v>-7.6125000000000007</v>
          </cell>
        </row>
        <row r="16">
          <cell r="C16">
            <v>3118.7499999999991</v>
          </cell>
          <cell r="E16">
            <v>-7.8765000000000001</v>
          </cell>
        </row>
        <row r="17">
          <cell r="C17">
            <v>3149.9999999999986</v>
          </cell>
          <cell r="E17">
            <v>-7.8929999999999998</v>
          </cell>
        </row>
        <row r="18">
          <cell r="C18">
            <v>3181.2499999999986</v>
          </cell>
          <cell r="E18">
            <v>-7.8740000000000006</v>
          </cell>
        </row>
        <row r="19">
          <cell r="C19">
            <v>3212.4999999999986</v>
          </cell>
          <cell r="E19">
            <v>-7.8360000000000003</v>
          </cell>
        </row>
        <row r="20">
          <cell r="C20">
            <v>3243.75</v>
          </cell>
          <cell r="E20">
            <v>-8.4585000000000008</v>
          </cell>
        </row>
        <row r="21">
          <cell r="C21">
            <v>3286.6668</v>
          </cell>
          <cell r="E21">
            <v>-8.2705000000000002</v>
          </cell>
        </row>
        <row r="22">
          <cell r="C22">
            <v>3332.5003000000002</v>
          </cell>
          <cell r="E22">
            <v>-8.2480000000000011</v>
          </cell>
        </row>
        <row r="23">
          <cell r="C23">
            <v>3378.3337999999999</v>
          </cell>
          <cell r="E23">
            <v>-8.6634999999999991</v>
          </cell>
        </row>
        <row r="24">
          <cell r="C24">
            <v>3424.1673000000001</v>
          </cell>
          <cell r="E24">
            <v>-8.1914999999999996</v>
          </cell>
        </row>
        <row r="25">
          <cell r="C25">
            <v>3470.0008000000003</v>
          </cell>
          <cell r="E25">
            <v>-8.1555</v>
          </cell>
        </row>
        <row r="26">
          <cell r="C26">
            <v>3561.6677999999997</v>
          </cell>
          <cell r="E26">
            <v>-8.099499999999999</v>
          </cell>
        </row>
        <row r="27">
          <cell r="C27">
            <v>3587.6923999999999</v>
          </cell>
          <cell r="E27">
            <v>-9.4915000000000003</v>
          </cell>
        </row>
        <row r="28">
          <cell r="C28">
            <v>3626.1544000000004</v>
          </cell>
          <cell r="E28">
            <v>-9.7189999999999994</v>
          </cell>
        </row>
        <row r="29">
          <cell r="C29">
            <v>3664.6163999999999</v>
          </cell>
          <cell r="E29">
            <v>-10.050000000000001</v>
          </cell>
        </row>
        <row r="30">
          <cell r="C30">
            <v>3683.8271599999998</v>
          </cell>
          <cell r="E30">
            <v>-9.7175000000000011</v>
          </cell>
        </row>
        <row r="31">
          <cell r="C31">
            <v>3702.9629600000003</v>
          </cell>
          <cell r="E31">
            <v>-9.3925000000000001</v>
          </cell>
        </row>
        <row r="32">
          <cell r="C32">
            <v>3722.0987600000003</v>
          </cell>
          <cell r="E32">
            <v>-9.9134999999999991</v>
          </cell>
        </row>
        <row r="33">
          <cell r="C33">
            <v>3741.2345599999999</v>
          </cell>
          <cell r="E33">
            <v>-9.532</v>
          </cell>
        </row>
        <row r="34">
          <cell r="C34">
            <v>3779.5061599999999</v>
          </cell>
          <cell r="E34">
            <v>-9.3539999999999992</v>
          </cell>
        </row>
        <row r="35">
          <cell r="C35">
            <v>3817.7777600000004</v>
          </cell>
          <cell r="E35">
            <v>-9.7949999999999999</v>
          </cell>
        </row>
        <row r="36">
          <cell r="C36">
            <v>3856.04936</v>
          </cell>
          <cell r="E36">
            <v>-9.4504999999999999</v>
          </cell>
        </row>
        <row r="37">
          <cell r="C37">
            <v>3894.32096</v>
          </cell>
          <cell r="E37">
            <v>-9.7860000000000014</v>
          </cell>
        </row>
        <row r="38">
          <cell r="C38">
            <v>3932.59256</v>
          </cell>
          <cell r="E38">
            <v>-9.4585000000000008</v>
          </cell>
        </row>
        <row r="39">
          <cell r="C39">
            <v>3951.7283600000001</v>
          </cell>
          <cell r="E39">
            <v>-9.6829999999999998</v>
          </cell>
        </row>
        <row r="40">
          <cell r="C40">
            <v>3970.8641600000001</v>
          </cell>
          <cell r="E40">
            <v>-8.8784999999999989</v>
          </cell>
        </row>
        <row r="41">
          <cell r="C41">
            <v>4000.7145</v>
          </cell>
          <cell r="E41">
            <v>-9.2255000000000003</v>
          </cell>
        </row>
        <row r="42">
          <cell r="C42">
            <v>4022.1435000000001</v>
          </cell>
          <cell r="E42">
            <v>-9.3010000000000002</v>
          </cell>
        </row>
        <row r="43">
          <cell r="C43">
            <v>4032.8580000000002</v>
          </cell>
          <cell r="E43">
            <v>-9.2780000000000005</v>
          </cell>
        </row>
        <row r="44">
          <cell r="C44">
            <v>4043.5724999999998</v>
          </cell>
          <cell r="E44">
            <v>-9.3140000000000001</v>
          </cell>
        </row>
        <row r="45">
          <cell r="C45">
            <v>4065.0014999999985</v>
          </cell>
          <cell r="E45">
            <v>-9.2684999999999995</v>
          </cell>
        </row>
        <row r="46">
          <cell r="C46">
            <v>4100.232599999993</v>
          </cell>
          <cell r="E46">
            <v>-9.7465000000000011</v>
          </cell>
        </row>
        <row r="47">
          <cell r="C47">
            <v>4167.6745999999939</v>
          </cell>
          <cell r="E47">
            <v>-9.4145000000000003</v>
          </cell>
        </row>
        <row r="48">
          <cell r="C48">
            <v>4235.116599999993</v>
          </cell>
          <cell r="E48">
            <v>-9.2119999999999997</v>
          </cell>
        </row>
        <row r="49">
          <cell r="C49">
            <v>4302.558599999993</v>
          </cell>
          <cell r="E49">
            <v>-9.58</v>
          </cell>
        </row>
        <row r="50">
          <cell r="C50">
            <v>4370</v>
          </cell>
          <cell r="E50">
            <v>-9.4540000000000006</v>
          </cell>
        </row>
        <row r="51">
          <cell r="C51">
            <v>4414.9274999999952</v>
          </cell>
          <cell r="E51">
            <v>-9.932500000000001</v>
          </cell>
        </row>
        <row r="52">
          <cell r="C52">
            <v>4459.8549999999959</v>
          </cell>
          <cell r="E52">
            <v>-9.4215</v>
          </cell>
        </row>
        <row r="53">
          <cell r="C53">
            <v>4504.7824999999957</v>
          </cell>
          <cell r="E53">
            <v>-9.3569999999999993</v>
          </cell>
        </row>
        <row r="54">
          <cell r="C54">
            <v>4549.7099999999955</v>
          </cell>
          <cell r="E54">
            <v>-9.4469999999999992</v>
          </cell>
        </row>
        <row r="55">
          <cell r="C55">
            <v>4594.6374999999953</v>
          </cell>
          <cell r="E55">
            <v>-9.0489999999999995</v>
          </cell>
        </row>
        <row r="56">
          <cell r="C56">
            <v>4639.564999999996</v>
          </cell>
          <cell r="E56">
            <v>-8.5150000000000006</v>
          </cell>
        </row>
        <row r="57">
          <cell r="C57">
            <v>4687.4418599999926</v>
          </cell>
          <cell r="E57">
            <v>-9.407</v>
          </cell>
        </row>
        <row r="58">
          <cell r="C58">
            <v>4761.8604599999926</v>
          </cell>
          <cell r="E58">
            <v>-8.9395000000000007</v>
          </cell>
        </row>
        <row r="59">
          <cell r="C59">
            <v>4836.2790599999926</v>
          </cell>
          <cell r="E59">
            <v>-9.3464999999999989</v>
          </cell>
        </row>
        <row r="60">
          <cell r="C60">
            <v>4910.6976599999925</v>
          </cell>
          <cell r="E60">
            <v>-9.67</v>
          </cell>
        </row>
        <row r="61">
          <cell r="C61">
            <v>4985.1162599999925</v>
          </cell>
          <cell r="E61">
            <v>-9.4439999999999991</v>
          </cell>
        </row>
        <row r="62">
          <cell r="C62">
            <v>5034.2856799999954</v>
          </cell>
          <cell r="E62">
            <v>-9.6290000000000013</v>
          </cell>
        </row>
        <row r="63">
          <cell r="C63">
            <v>5077.1427799999956</v>
          </cell>
          <cell r="E63">
            <v>-9.5850000000000009</v>
          </cell>
        </row>
        <row r="64">
          <cell r="C64">
            <v>5246.8299999999936</v>
          </cell>
          <cell r="E64">
            <v>-9.2405000000000008</v>
          </cell>
        </row>
        <row r="65">
          <cell r="C65">
            <v>5310.2449999999935</v>
          </cell>
          <cell r="E65">
            <v>-9.8155000000000001</v>
          </cell>
        </row>
        <row r="66">
          <cell r="C66">
            <v>5373.6599999999935</v>
          </cell>
          <cell r="E66">
            <v>-9.7674999999999983</v>
          </cell>
        </row>
        <row r="67">
          <cell r="C67">
            <v>5448.2253999999921</v>
          </cell>
          <cell r="E67">
            <v>-9.5640000000000001</v>
          </cell>
        </row>
        <row r="68">
          <cell r="C68">
            <v>5524.0313999999926</v>
          </cell>
          <cell r="E68">
            <v>-9.3369999999999997</v>
          </cell>
        </row>
        <row r="69">
          <cell r="C69">
            <v>5599.8373999999922</v>
          </cell>
          <cell r="E69">
            <v>-9.1140000000000008</v>
          </cell>
        </row>
        <row r="70">
          <cell r="C70">
            <v>5675.6433999999927</v>
          </cell>
          <cell r="E70">
            <v>-8.7609999999999992</v>
          </cell>
        </row>
        <row r="71">
          <cell r="C71">
            <v>5929.4666399999905</v>
          </cell>
          <cell r="E71">
            <v>-8.8945000000000007</v>
          </cell>
        </row>
        <row r="72">
          <cell r="C72">
            <v>6023.7999399999817</v>
          </cell>
          <cell r="E72">
            <v>-9.6810000000000009</v>
          </cell>
        </row>
        <row r="73">
          <cell r="C73">
            <v>6118.133239999981</v>
          </cell>
          <cell r="E73">
            <v>-9.0874999999999986</v>
          </cell>
        </row>
      </sheetData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purl.oclc.org/ooxml/spreadsheetml/main" xmlns:mc="http://schemas.openxmlformats.org/markup-compatibility/2006" xmlns:x14="http://schemas.microsoft.com/office/spreadsheetml/2009/9/main" mc:Ignorable="x14">
  <externalBook xmlns:r="http://purl.oclc.org/ooxml/officeDocument/relationships" r:id="rId1">
    <sheetNames>
      <sheetName val="原始数据"/>
      <sheetName val="Sheet1"/>
      <sheetName val="80万年"/>
      <sheetName val="冰期-间冰期"/>
      <sheetName val="0.8-2.7Ma"/>
      <sheetName val="2冰期-间冰期"/>
      <sheetName val="深海18O"/>
      <sheetName val="冰芯CO2浓度"/>
    </sheetNames>
    <sheetDataSet>
      <sheetData sheetId="0" refreshError="1"/>
      <sheetData sheetId="1" refreshError="1"/>
      <sheetData sheetId="2" refreshError="1"/>
      <sheetData sheetId="3">
        <row r="2">
          <cell r="F2">
            <v>17.540000000000003</v>
          </cell>
          <cell r="I2">
            <v>531.02464439655648</v>
          </cell>
          <cell r="P2">
            <v>17.54</v>
          </cell>
          <cell r="S2">
            <v>325.37978638792003</v>
          </cell>
        </row>
        <row r="3">
          <cell r="F3">
            <v>15.89</v>
          </cell>
          <cell r="I3">
            <v>796.62673836281044</v>
          </cell>
          <cell r="P3">
            <v>17.399999999999999</v>
          </cell>
          <cell r="S3">
            <v>355.61736863910318</v>
          </cell>
        </row>
        <row r="4">
          <cell r="F4">
            <v>14.350000000000001</v>
          </cell>
          <cell r="I4">
            <v>1716.8274059262712</v>
          </cell>
          <cell r="P4">
            <v>17.700000000000003</v>
          </cell>
          <cell r="S4">
            <v>331.70599294951137</v>
          </cell>
        </row>
        <row r="5">
          <cell r="F5">
            <v>16.420000000000002</v>
          </cell>
          <cell r="I5">
            <v>724.02372902303603</v>
          </cell>
          <cell r="P5">
            <v>17.419999999999998</v>
          </cell>
          <cell r="S5">
            <v>362.88648991479198</v>
          </cell>
        </row>
        <row r="6">
          <cell r="F6">
            <v>14.33</v>
          </cell>
          <cell r="I6">
            <v>1689.4727456895848</v>
          </cell>
          <cell r="P6">
            <v>18.27</v>
          </cell>
          <cell r="S6">
            <v>311.17887221121202</v>
          </cell>
        </row>
        <row r="7">
          <cell r="F7">
            <v>14.07</v>
          </cell>
          <cell r="I7">
            <v>2146.3969932326622</v>
          </cell>
          <cell r="P7">
            <v>18.29</v>
          </cell>
          <cell r="S7">
            <v>323.31593740708013</v>
          </cell>
        </row>
        <row r="8">
          <cell r="F8">
            <v>17.04</v>
          </cell>
          <cell r="I8">
            <v>533.65953167779605</v>
          </cell>
          <cell r="P8">
            <v>15.54</v>
          </cell>
          <cell r="S8">
            <v>752.73617358466709</v>
          </cell>
        </row>
        <row r="9">
          <cell r="F9">
            <v>15.27</v>
          </cell>
          <cell r="I9">
            <v>899.42849520324194</v>
          </cell>
          <cell r="P9">
            <v>15.620000000000001</v>
          </cell>
          <cell r="S9">
            <v>735.38014622614389</v>
          </cell>
        </row>
        <row r="10">
          <cell r="F10">
            <v>15.98</v>
          </cell>
          <cell r="I10">
            <v>707.10891430870811</v>
          </cell>
          <cell r="P10">
            <v>14.849999999999998</v>
          </cell>
          <cell r="S10">
            <v>986.62261356309705</v>
          </cell>
        </row>
        <row r="11">
          <cell r="F11">
            <v>15.17</v>
          </cell>
          <cell r="I11">
            <v>983.4683697548561</v>
          </cell>
          <cell r="P11">
            <v>15.45</v>
          </cell>
          <cell r="S11">
            <v>784.82506241010219</v>
          </cell>
        </row>
        <row r="12">
          <cell r="F12">
            <v>15.17</v>
          </cell>
          <cell r="I12">
            <v>953.82960240193518</v>
          </cell>
          <cell r="P12">
            <v>14.229999999999999</v>
          </cell>
          <cell r="S12">
            <v>1387.1370360678311</v>
          </cell>
        </row>
        <row r="13">
          <cell r="F13">
            <v>14.599999999999998</v>
          </cell>
          <cell r="I13">
            <v>1276.586788174621</v>
          </cell>
          <cell r="P13">
            <v>15.5</v>
          </cell>
          <cell r="S13">
            <v>740.00550039337054</v>
          </cell>
        </row>
        <row r="14">
          <cell r="F14">
            <v>15.790000000000003</v>
          </cell>
          <cell r="I14">
            <v>793.96062911749368</v>
          </cell>
          <cell r="P14">
            <v>14.649999999999999</v>
          </cell>
          <cell r="S14">
            <v>1044.4332392050976</v>
          </cell>
        </row>
        <row r="15">
          <cell r="F15">
            <v>16.940000000000001</v>
          </cell>
          <cell r="I15">
            <v>566.59830468504504</v>
          </cell>
          <cell r="P15">
            <v>15.11</v>
          </cell>
          <cell r="S15">
            <v>838.19752786214337</v>
          </cell>
        </row>
        <row r="16">
          <cell r="F16">
            <v>17.029999999999998</v>
          </cell>
          <cell r="I16">
            <v>566.64144972894906</v>
          </cell>
          <cell r="P16">
            <v>14.99</v>
          </cell>
          <cell r="S16">
            <v>822.84604523272264</v>
          </cell>
        </row>
        <row r="17">
          <cell r="F17">
            <v>19.309999999999999</v>
          </cell>
          <cell r="I17">
            <v>287.9120728317987</v>
          </cell>
          <cell r="P17">
            <v>14.620000000000001</v>
          </cell>
          <cell r="S17">
            <v>956.76015725463003</v>
          </cell>
        </row>
        <row r="18">
          <cell r="F18">
            <v>15.240000000000002</v>
          </cell>
          <cell r="I18">
            <v>972.55317478770542</v>
          </cell>
          <cell r="P18">
            <v>15.379999999999999</v>
          </cell>
          <cell r="S18">
            <v>655.49858603368386</v>
          </cell>
        </row>
        <row r="19">
          <cell r="F19">
            <v>15.240000000000002</v>
          </cell>
          <cell r="I19">
            <v>993.82152361777526</v>
          </cell>
          <cell r="P19">
            <v>14.780000000000001</v>
          </cell>
          <cell r="S19">
            <v>834.00168869027277</v>
          </cell>
        </row>
        <row r="20">
          <cell r="F20">
            <v>17.690000000000001</v>
          </cell>
          <cell r="I20">
            <v>496.72366862083754</v>
          </cell>
          <cell r="P20">
            <v>14.090000000000002</v>
          </cell>
          <cell r="S20">
            <v>1283.3449857623827</v>
          </cell>
        </row>
        <row r="21">
          <cell r="F21">
            <v>16.520000000000003</v>
          </cell>
          <cell r="I21">
            <v>656.36274678170048</v>
          </cell>
          <cell r="P21">
            <v>14.16</v>
          </cell>
          <cell r="S21">
            <v>1172.4454326338785</v>
          </cell>
        </row>
        <row r="22">
          <cell r="F22">
            <v>16.5</v>
          </cell>
          <cell r="I22">
            <v>687.40573754926334</v>
          </cell>
          <cell r="P22">
            <v>14.55</v>
          </cell>
          <cell r="S22">
            <v>936.0478353633888</v>
          </cell>
        </row>
        <row r="23">
          <cell r="F23">
            <v>16.270000000000003</v>
          </cell>
          <cell r="I23">
            <v>745.59687232059389</v>
          </cell>
          <cell r="P23">
            <v>15.68</v>
          </cell>
          <cell r="S23">
            <v>599.47361996212828</v>
          </cell>
        </row>
        <row r="24">
          <cell r="F24">
            <v>17.580000000000002</v>
          </cell>
          <cell r="I24">
            <v>568.41618352708952</v>
          </cell>
          <cell r="P24">
            <v>18.47</v>
          </cell>
          <cell r="S24">
            <v>272.6719500545758</v>
          </cell>
        </row>
        <row r="25">
          <cell r="F25">
            <v>17.27</v>
          </cell>
          <cell r="I25">
            <v>598.08562878616897</v>
          </cell>
          <cell r="P25">
            <v>15.89</v>
          </cell>
          <cell r="S25">
            <v>491.49453714082642</v>
          </cell>
        </row>
        <row r="26">
          <cell r="F26">
            <v>18.63</v>
          </cell>
          <cell r="I26">
            <v>381.04711646627368</v>
          </cell>
          <cell r="P26">
            <v>17.779999999999998</v>
          </cell>
          <cell r="S26">
            <v>310.40422200113312</v>
          </cell>
        </row>
        <row r="27">
          <cell r="F27">
            <v>17.060000000000002</v>
          </cell>
          <cell r="I27">
            <v>547.60306346143295</v>
          </cell>
          <cell r="P27">
            <v>17.22</v>
          </cell>
          <cell r="S27">
            <v>338.68394205922624</v>
          </cell>
        </row>
        <row r="28">
          <cell r="F28">
            <v>18.38</v>
          </cell>
          <cell r="I28">
            <v>392.18752922506457</v>
          </cell>
          <cell r="P28">
            <v>17.559999999999999</v>
          </cell>
          <cell r="S28">
            <v>322.3240026047352</v>
          </cell>
        </row>
        <row r="29">
          <cell r="F29">
            <v>15.72</v>
          </cell>
          <cell r="I29">
            <v>842.44301210018</v>
          </cell>
          <cell r="P29">
            <v>16.64</v>
          </cell>
          <cell r="S29">
            <v>415.1488001045584</v>
          </cell>
        </row>
        <row r="30">
          <cell r="F30">
            <v>16.659999999999997</v>
          </cell>
          <cell r="I30">
            <v>661.18611758817303</v>
          </cell>
          <cell r="P30">
            <v>17.270000000000003</v>
          </cell>
          <cell r="S30">
            <v>371.98551357205429</v>
          </cell>
        </row>
        <row r="31">
          <cell r="F31">
            <v>16.77</v>
          </cell>
          <cell r="I31">
            <v>629.70624443150791</v>
          </cell>
          <cell r="P31">
            <v>16.77</v>
          </cell>
          <cell r="S31">
            <v>447.85572954418791</v>
          </cell>
        </row>
        <row r="32">
          <cell r="P32">
            <v>17.68</v>
          </cell>
          <cell r="S32">
            <v>349.02256398916279</v>
          </cell>
        </row>
        <row r="33">
          <cell r="P33">
            <v>18.299999999999997</v>
          </cell>
          <cell r="S33">
            <v>326.94378082675757</v>
          </cell>
        </row>
        <row r="34">
          <cell r="P34">
            <v>17.68</v>
          </cell>
          <cell r="S34">
            <v>326.91089611366215</v>
          </cell>
        </row>
        <row r="35">
          <cell r="P35">
            <v>18.47</v>
          </cell>
          <cell r="S35">
            <v>250.3022298121015</v>
          </cell>
        </row>
        <row r="36">
          <cell r="P36">
            <v>18.25</v>
          </cell>
          <cell r="S36">
            <v>267.8739206470043</v>
          </cell>
        </row>
        <row r="37">
          <cell r="P37">
            <v>16.009999999999998</v>
          </cell>
          <cell r="S37">
            <v>658.4803620400744</v>
          </cell>
        </row>
        <row r="38">
          <cell r="P38">
            <v>15.849999999999998</v>
          </cell>
          <cell r="S38">
            <v>672.26379929426093</v>
          </cell>
        </row>
        <row r="39">
          <cell r="P39">
            <v>16.23</v>
          </cell>
          <cell r="S39">
            <v>630.28679628672614</v>
          </cell>
        </row>
        <row r="40">
          <cell r="P40">
            <v>16.579999999999998</v>
          </cell>
          <cell r="S40">
            <v>535.66077421982891</v>
          </cell>
        </row>
        <row r="41">
          <cell r="P41">
            <v>17.880000000000003</v>
          </cell>
          <cell r="S41">
            <v>324.83362718112187</v>
          </cell>
        </row>
        <row r="42">
          <cell r="P42">
            <v>18.16</v>
          </cell>
          <cell r="S42">
            <v>285.22369382039193</v>
          </cell>
        </row>
        <row r="43">
          <cell r="P43">
            <v>16.75</v>
          </cell>
          <cell r="S43">
            <v>537.78353804314349</v>
          </cell>
        </row>
        <row r="44">
          <cell r="P44">
            <v>17.650000000000002</v>
          </cell>
          <cell r="S44">
            <v>392.21471087634819</v>
          </cell>
        </row>
        <row r="45">
          <cell r="P45">
            <v>17.77</v>
          </cell>
          <cell r="S45">
            <v>359.12444758236461</v>
          </cell>
        </row>
        <row r="46">
          <cell r="P46">
            <v>17.599999999999998</v>
          </cell>
          <cell r="S46">
            <v>327.25996268125851</v>
          </cell>
        </row>
        <row r="47">
          <cell r="P47">
            <v>17.97</v>
          </cell>
          <cell r="S47">
            <v>299.27168345296275</v>
          </cell>
        </row>
        <row r="48">
          <cell r="P48">
            <v>17.25</v>
          </cell>
          <cell r="S48">
            <v>351.26622961715663</v>
          </cell>
        </row>
        <row r="49">
          <cell r="P49">
            <v>17.5</v>
          </cell>
          <cell r="S49">
            <v>409.20906203251707</v>
          </cell>
        </row>
        <row r="50">
          <cell r="P50">
            <v>16.73</v>
          </cell>
          <cell r="S50">
            <v>523.83037742852093</v>
          </cell>
        </row>
        <row r="51">
          <cell r="P51">
            <v>18.420000000000002</v>
          </cell>
          <cell r="S51">
            <v>310.78081324396032</v>
          </cell>
        </row>
        <row r="52">
          <cell r="P52">
            <v>17.2</v>
          </cell>
          <cell r="S52">
            <v>438.37785285646407</v>
          </cell>
        </row>
        <row r="53">
          <cell r="P53">
            <v>17.099999999999998</v>
          </cell>
          <cell r="S53">
            <v>451.03545394659324</v>
          </cell>
        </row>
        <row r="54">
          <cell r="P54">
            <v>18.059999999999999</v>
          </cell>
          <cell r="S54">
            <v>344.12144705016317</v>
          </cell>
        </row>
        <row r="55">
          <cell r="P55">
            <v>18.350000000000001</v>
          </cell>
          <cell r="S55">
            <v>326.71357785154856</v>
          </cell>
        </row>
        <row r="56">
          <cell r="P56">
            <v>19.559999999999999</v>
          </cell>
          <cell r="S56">
            <v>281.0367009332391</v>
          </cell>
        </row>
        <row r="57">
          <cell r="P57">
            <v>21.810000000000002</v>
          </cell>
          <cell r="S57">
            <v>132.89282640936767</v>
          </cell>
        </row>
        <row r="58">
          <cell r="P58">
            <v>20.95</v>
          </cell>
          <cell r="S58">
            <v>165.52233087519963</v>
          </cell>
        </row>
        <row r="59">
          <cell r="P59">
            <v>18.590000000000003</v>
          </cell>
          <cell r="S59">
            <v>268.84723942249099</v>
          </cell>
        </row>
        <row r="60">
          <cell r="P60">
            <v>16.009999999999998</v>
          </cell>
          <cell r="S60">
            <v>692.24858573443726</v>
          </cell>
        </row>
        <row r="61">
          <cell r="P61">
            <v>15.849999999999998</v>
          </cell>
          <cell r="S61">
            <v>706.73886592473582</v>
          </cell>
        </row>
        <row r="62">
          <cell r="P62">
            <v>16.23</v>
          </cell>
          <cell r="S62">
            <v>662.60919609630184</v>
          </cell>
        </row>
        <row r="63">
          <cell r="P63">
            <v>16.579999999999998</v>
          </cell>
          <cell r="S63">
            <v>563.13055751315358</v>
          </cell>
        </row>
        <row r="64">
          <cell r="P64">
            <v>20.340000000000003</v>
          </cell>
          <cell r="S64">
            <v>181.78464233596517</v>
          </cell>
        </row>
        <row r="65">
          <cell r="P65">
            <v>19.96</v>
          </cell>
          <cell r="S65">
            <v>173.46053972271574</v>
          </cell>
        </row>
        <row r="66">
          <cell r="P66">
            <v>19.95</v>
          </cell>
          <cell r="S66">
            <v>201.89387858323087</v>
          </cell>
        </row>
        <row r="67">
          <cell r="P67">
            <v>19.7</v>
          </cell>
          <cell r="S67">
            <v>233.89449885583554</v>
          </cell>
        </row>
        <row r="68">
          <cell r="P68">
            <v>19.64</v>
          </cell>
          <cell r="S68">
            <v>218.25893991215773</v>
          </cell>
        </row>
        <row r="69">
          <cell r="P69">
            <v>19.369999999999997</v>
          </cell>
          <cell r="S69">
            <v>242.99781397327513</v>
          </cell>
        </row>
        <row r="70">
          <cell r="P70">
            <v>19.16</v>
          </cell>
          <cell r="S70">
            <v>248.38525076776193</v>
          </cell>
        </row>
        <row r="71">
          <cell r="P71">
            <v>19.049999999999997</v>
          </cell>
          <cell r="S71">
            <v>238.99241827805253</v>
          </cell>
        </row>
        <row r="72">
          <cell r="P72">
            <v>17.880000000000003</v>
          </cell>
        </row>
        <row r="73">
          <cell r="P73">
            <v>18.16</v>
          </cell>
        </row>
        <row r="74">
          <cell r="P74">
            <v>18.82</v>
          </cell>
        </row>
        <row r="75">
          <cell r="P75">
            <v>16.75</v>
          </cell>
        </row>
        <row r="76">
          <cell r="P76">
            <v>17.650000000000002</v>
          </cell>
        </row>
        <row r="77">
          <cell r="P77">
            <v>19.239999999999998</v>
          </cell>
        </row>
        <row r="78">
          <cell r="P78">
            <v>17.77</v>
          </cell>
        </row>
        <row r="79">
          <cell r="P79">
            <v>17.599999999999998</v>
          </cell>
        </row>
        <row r="80">
          <cell r="P80">
            <v>17.97</v>
          </cell>
        </row>
        <row r="81">
          <cell r="P81">
            <v>20.56</v>
          </cell>
        </row>
        <row r="82">
          <cell r="P82">
            <v>20.420000000000002</v>
          </cell>
        </row>
        <row r="83">
          <cell r="P83">
            <v>20.47</v>
          </cell>
        </row>
        <row r="84">
          <cell r="P84">
            <v>22.11</v>
          </cell>
        </row>
        <row r="85">
          <cell r="P85">
            <v>21.68</v>
          </cell>
        </row>
        <row r="86">
          <cell r="P86">
            <v>17.25</v>
          </cell>
        </row>
        <row r="87">
          <cell r="P87">
            <v>18.829999999999998</v>
          </cell>
        </row>
        <row r="88">
          <cell r="P88">
            <v>19.86</v>
          </cell>
        </row>
        <row r="89">
          <cell r="P89">
            <v>21.580000000000002</v>
          </cell>
        </row>
        <row r="90">
          <cell r="P90">
            <v>22.66</v>
          </cell>
        </row>
        <row r="91">
          <cell r="P91">
            <v>22.7</v>
          </cell>
        </row>
        <row r="92">
          <cell r="P92">
            <v>21.48</v>
          </cell>
        </row>
        <row r="93">
          <cell r="P93">
            <v>21.79</v>
          </cell>
        </row>
        <row r="94">
          <cell r="P94">
            <v>21.060000000000002</v>
          </cell>
        </row>
        <row r="95">
          <cell r="P95">
            <v>19.95</v>
          </cell>
        </row>
        <row r="96">
          <cell r="P96">
            <v>19.489999999999998</v>
          </cell>
        </row>
        <row r="97">
          <cell r="P97">
            <v>17.5</v>
          </cell>
        </row>
        <row r="98">
          <cell r="P98">
            <v>16.73</v>
          </cell>
        </row>
        <row r="99">
          <cell r="P99">
            <v>19.079999999999998</v>
          </cell>
        </row>
        <row r="100">
          <cell r="P100">
            <v>19.7</v>
          </cell>
        </row>
        <row r="101">
          <cell r="P101">
            <v>18.420000000000002</v>
          </cell>
        </row>
        <row r="102">
          <cell r="P102">
            <v>17.2</v>
          </cell>
        </row>
        <row r="103">
          <cell r="P103">
            <v>17.099999999999998</v>
          </cell>
        </row>
        <row r="104">
          <cell r="P104">
            <v>18.059999999999999</v>
          </cell>
        </row>
        <row r="105">
          <cell r="P105">
            <v>18.350000000000001</v>
          </cell>
        </row>
        <row r="106">
          <cell r="P106">
            <v>17.400000000000002</v>
          </cell>
        </row>
        <row r="107">
          <cell r="P107">
            <v>18.309999999999999</v>
          </cell>
        </row>
        <row r="108">
          <cell r="P108">
            <v>17.89</v>
          </cell>
        </row>
        <row r="109">
          <cell r="P109">
            <v>17.63</v>
          </cell>
        </row>
        <row r="110">
          <cell r="P110">
            <v>17.020000000000003</v>
          </cell>
        </row>
        <row r="111">
          <cell r="P111">
            <v>16.96</v>
          </cell>
        </row>
        <row r="112">
          <cell r="P112">
            <v>16.91</v>
          </cell>
        </row>
        <row r="113">
          <cell r="P113">
            <v>16.740000000000002</v>
          </cell>
        </row>
        <row r="114">
          <cell r="P114">
            <v>17.520000000000003</v>
          </cell>
        </row>
        <row r="115">
          <cell r="P115">
            <v>17.809999999999999</v>
          </cell>
        </row>
        <row r="116">
          <cell r="P116">
            <v>17.029999999999998</v>
          </cell>
        </row>
        <row r="117">
          <cell r="P117">
            <v>16.990000000000002</v>
          </cell>
        </row>
      </sheetData>
      <sheetData sheetId="4" refreshError="1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tint val="50%"/>
                <a:satMod val="300%"/>
              </a:schemeClr>
            </a:gs>
            <a:gs pos="35%">
              <a:schemeClr val="phClr">
                <a:tint val="37%"/>
                <a:satMod val="300%"/>
              </a:schemeClr>
            </a:gs>
            <a:gs pos="100%">
              <a:schemeClr val="phClr">
                <a:tint val="15%"/>
                <a:satMod val="350%"/>
              </a:schemeClr>
            </a:gs>
          </a:gsLst>
          <a:lin ang="16200000" scaled="1"/>
        </a:gradFill>
        <a:gradFill rotWithShape="1">
          <a:gsLst>
            <a:gs pos="0%">
              <a:schemeClr val="phClr">
                <a:shade val="51%"/>
                <a:satMod val="130%"/>
              </a:schemeClr>
            </a:gs>
            <a:gs pos="80%">
              <a:schemeClr val="phClr">
                <a:shade val="93%"/>
                <a:satMod val="130%"/>
              </a:schemeClr>
            </a:gs>
            <a:gs pos="100%">
              <a:schemeClr val="phClr">
                <a:shade val="94%"/>
                <a:satMod val="135%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%"/>
              <a:satMod val="105%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%">
              <a:schemeClr val="phClr">
                <a:tint val="40%"/>
                <a:satMod val="350%"/>
              </a:schemeClr>
            </a:gs>
            <a:gs pos="40%">
              <a:schemeClr val="phClr">
                <a:tint val="45%"/>
                <a:shade val="99%"/>
                <a:satMod val="350%"/>
              </a:schemeClr>
            </a:gs>
            <a:gs pos="100%">
              <a:schemeClr val="phClr">
                <a:shade val="20%"/>
                <a:satMod val="255%"/>
              </a:schemeClr>
            </a:gs>
          </a:gsLst>
          <a:path path="circle">
            <a:fillToRect l="50%" t="-80%" r="50%" b="180%"/>
          </a:path>
        </a:gradFill>
        <a:gradFill rotWithShape="1">
          <a:gsLst>
            <a:gs pos="0%">
              <a:schemeClr val="phClr">
                <a:tint val="80%"/>
                <a:satMod val="300%"/>
              </a:schemeClr>
            </a:gs>
            <a:gs pos="100%">
              <a:schemeClr val="phClr">
                <a:shade val="30%"/>
                <a:satMod val="200%"/>
              </a:schemeClr>
            </a:gs>
          </a:gsLst>
          <a:path path="circle">
            <a:fillToRect l="50%" t="50%" r="50%" b="50%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purl.oclc.org/ooxml/drawingml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%">
            <a:schemeClr val="phClr">
              <a:lumMod val="110%"/>
              <a:satMod val="105%"/>
              <a:tint val="67%"/>
            </a:schemeClr>
          </a:gs>
          <a:gs pos="50%">
            <a:schemeClr val="phClr">
              <a:lumMod val="105%"/>
              <a:satMod val="103%"/>
              <a:tint val="73%"/>
            </a:schemeClr>
          </a:gs>
          <a:gs pos="100%">
            <a:schemeClr val="phClr">
              <a:lumMod val="105%"/>
              <a:satMod val="109%"/>
              <a:tint val="81%"/>
            </a:schemeClr>
          </a:gs>
        </a:gsLst>
        <a:lin ang="5400000" scaled="0"/>
      </a:gradFill>
      <a:gradFill rotWithShape="1">
        <a:gsLst>
          <a:gs pos="0%">
            <a:schemeClr val="phClr">
              <a:satMod val="103%"/>
              <a:lumMod val="102%"/>
              <a:tint val="94%"/>
            </a:schemeClr>
          </a:gs>
          <a:gs pos="50%">
            <a:schemeClr val="phClr">
              <a:satMod val="110%"/>
              <a:lumMod val="100%"/>
              <a:shade val="100%"/>
            </a:schemeClr>
          </a:gs>
          <a:gs pos="100%">
            <a:schemeClr val="phClr">
              <a:lumMod val="99%"/>
              <a:satMod val="120%"/>
              <a:shade val="78%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%"/>
      </a:ln>
      <a:ln w="12700" cap="flat" cmpd="sng" algn="ctr">
        <a:solidFill>
          <a:schemeClr val="phClr"/>
        </a:solidFill>
        <a:prstDash val="solid"/>
        <a:miter lim="800%"/>
      </a:ln>
      <a:ln w="19050" cap="flat" cmpd="sng" algn="ctr">
        <a:solidFill>
          <a:schemeClr val="phClr"/>
        </a:solidFill>
        <a:prstDash val="solid"/>
        <a:miter lim="800%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%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%"/>
          <a:satMod val="170%"/>
        </a:schemeClr>
      </a:solidFill>
      <a:gradFill rotWithShape="1">
        <a:gsLst>
          <a:gs pos="0%">
            <a:schemeClr val="phClr">
              <a:tint val="93%"/>
              <a:satMod val="150%"/>
              <a:shade val="98%"/>
              <a:lumMod val="102%"/>
            </a:schemeClr>
          </a:gs>
          <a:gs pos="50%">
            <a:schemeClr val="phClr">
              <a:tint val="98%"/>
              <a:satMod val="130%"/>
              <a:shade val="90%"/>
              <a:lumMod val="103%"/>
            </a:schemeClr>
          </a:gs>
          <a:gs pos="100%">
            <a:schemeClr val="phClr">
              <a:shade val="63%"/>
              <a:satMod val="120%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purl.oclc.org/ooxml/drawingml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%">
            <a:schemeClr val="phClr">
              <a:lumMod val="110%"/>
              <a:satMod val="105%"/>
              <a:tint val="67%"/>
            </a:schemeClr>
          </a:gs>
          <a:gs pos="50%">
            <a:schemeClr val="phClr">
              <a:lumMod val="105%"/>
              <a:satMod val="103%"/>
              <a:tint val="73%"/>
            </a:schemeClr>
          </a:gs>
          <a:gs pos="100%">
            <a:schemeClr val="phClr">
              <a:lumMod val="105%"/>
              <a:satMod val="109%"/>
              <a:tint val="81%"/>
            </a:schemeClr>
          </a:gs>
        </a:gsLst>
        <a:lin ang="5400000" scaled="0"/>
      </a:gradFill>
      <a:gradFill rotWithShape="1">
        <a:gsLst>
          <a:gs pos="0%">
            <a:schemeClr val="phClr">
              <a:satMod val="103%"/>
              <a:lumMod val="102%"/>
              <a:tint val="94%"/>
            </a:schemeClr>
          </a:gs>
          <a:gs pos="50%">
            <a:schemeClr val="phClr">
              <a:satMod val="110%"/>
              <a:lumMod val="100%"/>
              <a:shade val="100%"/>
            </a:schemeClr>
          </a:gs>
          <a:gs pos="100%">
            <a:schemeClr val="phClr">
              <a:lumMod val="99%"/>
              <a:satMod val="120%"/>
              <a:shade val="78%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%"/>
      </a:ln>
      <a:ln w="12700" cap="flat" cmpd="sng" algn="ctr">
        <a:solidFill>
          <a:schemeClr val="phClr"/>
        </a:solidFill>
        <a:prstDash val="solid"/>
        <a:miter lim="800%"/>
      </a:ln>
      <a:ln w="19050" cap="flat" cmpd="sng" algn="ctr">
        <a:solidFill>
          <a:schemeClr val="phClr"/>
        </a:solidFill>
        <a:prstDash val="solid"/>
        <a:miter lim="800%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%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%"/>
          <a:satMod val="170%"/>
        </a:schemeClr>
      </a:solidFill>
      <a:gradFill rotWithShape="1">
        <a:gsLst>
          <a:gs pos="0%">
            <a:schemeClr val="phClr">
              <a:tint val="93%"/>
              <a:satMod val="150%"/>
              <a:shade val="98%"/>
              <a:lumMod val="102%"/>
            </a:schemeClr>
          </a:gs>
          <a:gs pos="50%">
            <a:schemeClr val="phClr">
              <a:tint val="98%"/>
              <a:satMod val="130%"/>
              <a:shade val="90%"/>
              <a:lumMod val="103%"/>
            </a:schemeClr>
          </a:gs>
          <a:gs pos="100%">
            <a:schemeClr val="phClr">
              <a:shade val="63%"/>
              <a:satMod val="120%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purl.oclc.org/ooxml/officeDocument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purl.oclc.org/ooxml/officeDocument/relationships/drawing" Target="../drawings/drawing3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3"/>
  <sheetViews>
    <sheetView topLeftCell="A3" workbookViewId="0">
      <selection activeCell="F3" sqref="F1:G1048576"/>
    </sheetView>
  </sheetViews>
  <sheetFormatPr baseColWidth="10" defaultRowHeight="15"/>
  <cols>
    <col min="1" max="1" width="8.83203125" customWidth="1"/>
    <col min="2" max="2" width="9" style="2" customWidth="1"/>
    <col min="3" max="3" width="9" style="4" customWidth="1"/>
    <col min="4" max="4" width="9" style="6" customWidth="1"/>
    <col min="5" max="5" width="9" style="4" customWidth="1"/>
    <col min="6" max="6" width="9" style="2" customWidth="1"/>
    <col min="7" max="7" width="9" style="4" customWidth="1"/>
    <col min="8" max="8" width="9" style="6" customWidth="1"/>
    <col min="9" max="11" width="9" style="1" customWidth="1"/>
    <col min="12" max="12" width="9" style="2" customWidth="1"/>
    <col min="13" max="13" width="9" style="4" customWidth="1"/>
    <col min="14" max="256" width="8.83203125" customWidth="1"/>
  </cols>
  <sheetData>
    <row r="1" spans="1:14">
      <c r="A1" s="1" t="s">
        <v>7</v>
      </c>
      <c r="C1" s="2"/>
      <c r="E1" s="2"/>
      <c r="G1" s="2"/>
    </row>
    <row r="2" spans="1:14">
      <c r="A2" s="1" t="s">
        <v>8</v>
      </c>
      <c r="C2" s="2"/>
      <c r="E2" s="2"/>
      <c r="G2" s="2"/>
    </row>
    <row r="3" spans="1:14">
      <c r="C3" s="2"/>
      <c r="E3" s="2"/>
      <c r="G3" s="2"/>
    </row>
    <row r="4" spans="1:14">
      <c r="B4" s="3" t="s">
        <v>4</v>
      </c>
      <c r="C4" s="3"/>
      <c r="D4" s="7"/>
      <c r="E4" s="3"/>
      <c r="G4" s="3"/>
      <c r="H4" s="7"/>
      <c r="L4" s="5" t="s">
        <v>9</v>
      </c>
    </row>
    <row r="5" spans="1:14">
      <c r="B5" s="2" t="s">
        <v>3</v>
      </c>
      <c r="C5" s="4" t="s">
        <v>5</v>
      </c>
      <c r="D5" s="6" t="s">
        <v>10</v>
      </c>
      <c r="F5" s="2" t="s">
        <v>6</v>
      </c>
      <c r="G5" s="4" t="s">
        <v>5</v>
      </c>
      <c r="L5" s="2" t="s">
        <v>3</v>
      </c>
      <c r="M5" s="4" t="s">
        <v>5</v>
      </c>
    </row>
    <row r="6" spans="1:14">
      <c r="A6" s="1" t="s">
        <v>0</v>
      </c>
      <c r="B6" s="2">
        <v>-7.6874900000000004</v>
      </c>
      <c r="C6" s="4">
        <v>9.1834499999999993E-3</v>
      </c>
      <c r="F6" s="2">
        <v>-22.958100000000002</v>
      </c>
      <c r="G6" s="4">
        <v>1.4489E-2</v>
      </c>
      <c r="K6" s="1" t="s">
        <v>0</v>
      </c>
      <c r="L6" s="2">
        <v>-7.0108899999999998</v>
      </c>
      <c r="M6" s="4">
        <v>2.8965500000000002E-2</v>
      </c>
      <c r="N6">
        <f>1000*M6</f>
        <v>28.965500000000002</v>
      </c>
    </row>
    <row r="7" spans="1:14">
      <c r="A7" s="1" t="s">
        <v>0</v>
      </c>
      <c r="B7" s="2">
        <v>-7.0468400000000004</v>
      </c>
      <c r="C7" s="4">
        <v>1.2430399999999999E-2</v>
      </c>
      <c r="F7" s="2">
        <v>-22.282699999999998</v>
      </c>
      <c r="G7" s="4">
        <v>2.0145099999999999E-2</v>
      </c>
      <c r="K7" s="1" t="s">
        <v>0</v>
      </c>
      <c r="L7" s="2">
        <v>-8.1767599999999998</v>
      </c>
      <c r="M7" s="4">
        <v>5.7931000000000003E-2</v>
      </c>
      <c r="N7">
        <f t="shared" ref="N7:N70" si="0">1000*M7</f>
        <v>57.931000000000004</v>
      </c>
    </row>
    <row r="8" spans="1:14">
      <c r="A8" s="1" t="s">
        <v>1</v>
      </c>
      <c r="B8" s="2">
        <v>-6.9528800000000004</v>
      </c>
      <c r="C8" s="4">
        <v>3.9270100000000002E-2</v>
      </c>
      <c r="F8" s="2">
        <v>-22.5139</v>
      </c>
      <c r="G8" s="4">
        <v>3.3428800000000002E-2</v>
      </c>
      <c r="K8" s="1" t="s">
        <v>1</v>
      </c>
      <c r="L8" s="2">
        <v>-6.2131699999999999</v>
      </c>
      <c r="M8" s="4">
        <v>0.13517199999999999</v>
      </c>
      <c r="N8">
        <f t="shared" si="0"/>
        <v>135.172</v>
      </c>
    </row>
    <row r="9" spans="1:14">
      <c r="A9" s="1" t="s">
        <v>1</v>
      </c>
      <c r="B9" s="2">
        <v>-7.79657</v>
      </c>
      <c r="C9" s="4">
        <v>4.65444E-2</v>
      </c>
      <c r="F9" s="2">
        <v>-20.931699999999999</v>
      </c>
      <c r="G9" s="4">
        <v>4.2167000000000003E-2</v>
      </c>
      <c r="K9" s="1" t="s">
        <v>1</v>
      </c>
      <c r="L9" s="2">
        <v>-7.5266700000000002</v>
      </c>
      <c r="M9" s="4">
        <v>0.15931000000000001</v>
      </c>
      <c r="N9">
        <f t="shared" si="0"/>
        <v>159.31</v>
      </c>
    </row>
    <row r="10" spans="1:14">
      <c r="A10" s="1" t="s">
        <v>1</v>
      </c>
      <c r="B10" s="2">
        <v>-6.2963800000000001</v>
      </c>
      <c r="C10" s="4">
        <v>7.1962600000000002E-2</v>
      </c>
      <c r="D10" s="6">
        <v>-7.16</v>
      </c>
      <c r="E10" s="4">
        <v>0.05</v>
      </c>
      <c r="F10" s="2">
        <v>-19.716100000000001</v>
      </c>
      <c r="G10" s="4">
        <v>5.0741599999999998E-2</v>
      </c>
      <c r="K10" s="1" t="s">
        <v>1</v>
      </c>
      <c r="L10" s="2">
        <v>-7.8070500000000003</v>
      </c>
      <c r="M10" s="4">
        <v>0.16896600000000001</v>
      </c>
      <c r="N10">
        <f t="shared" si="0"/>
        <v>168.96600000000001</v>
      </c>
    </row>
    <row r="11" spans="1:14">
      <c r="A11" s="1" t="s">
        <v>1</v>
      </c>
      <c r="B11" s="2">
        <v>-7.2961099999999997</v>
      </c>
      <c r="C11" s="4">
        <v>0.105854</v>
      </c>
      <c r="F11" s="2">
        <v>-20.352599999999999</v>
      </c>
      <c r="G11" s="4">
        <v>5.5812300000000002E-2</v>
      </c>
      <c r="K11" s="1" t="s">
        <v>1</v>
      </c>
      <c r="L11" s="2">
        <v>-7.0688899999999997</v>
      </c>
      <c r="M11" s="4">
        <v>0.193103</v>
      </c>
      <c r="N11">
        <f t="shared" si="0"/>
        <v>193.10300000000001</v>
      </c>
    </row>
    <row r="12" spans="1:14">
      <c r="A12" s="1" t="s">
        <v>2</v>
      </c>
      <c r="B12" s="2">
        <v>-8.2491199999999996</v>
      </c>
      <c r="C12" s="4">
        <v>0.121057</v>
      </c>
      <c r="F12" s="2">
        <v>-21.6065</v>
      </c>
      <c r="G12" s="4">
        <v>6.0607500000000002E-2</v>
      </c>
      <c r="K12" s="1" t="s">
        <v>1</v>
      </c>
      <c r="L12" s="2">
        <v>-7.7771600000000003</v>
      </c>
      <c r="M12" s="4">
        <v>0.22689699999999999</v>
      </c>
      <c r="N12">
        <f t="shared" si="0"/>
        <v>226.89699999999999</v>
      </c>
    </row>
    <row r="13" spans="1:14">
      <c r="A13" s="1" t="s">
        <v>2</v>
      </c>
      <c r="B13" s="2">
        <v>-7.4208400000000001</v>
      </c>
      <c r="C13" s="4">
        <v>0.14052500000000001</v>
      </c>
      <c r="F13" s="2">
        <v>-22.455200000000001</v>
      </c>
      <c r="G13" s="4">
        <v>6.8260899999999999E-2</v>
      </c>
      <c r="K13" s="1" t="s">
        <v>1</v>
      </c>
      <c r="L13" s="2">
        <v>-4.8692299999999999</v>
      </c>
      <c r="M13" s="4">
        <v>0.25586199999999998</v>
      </c>
      <c r="N13">
        <f t="shared" si="0"/>
        <v>255.86199999999997</v>
      </c>
    </row>
    <row r="14" spans="1:14">
      <c r="B14" s="2">
        <v>-4.6551499999999999</v>
      </c>
      <c r="C14" s="4">
        <v>0.148343</v>
      </c>
      <c r="F14" s="2">
        <v>-18.654</v>
      </c>
      <c r="G14" s="4">
        <v>9.1376100000000002E-2</v>
      </c>
      <c r="K14" s="1" t="s">
        <v>2</v>
      </c>
      <c r="L14" s="2">
        <v>-7.31935</v>
      </c>
      <c r="M14" s="4">
        <v>0.265517</v>
      </c>
      <c r="N14">
        <f t="shared" si="0"/>
        <v>265.517</v>
      </c>
    </row>
    <row r="15" spans="1:14">
      <c r="B15" s="2">
        <v>-4.0144599999999997</v>
      </c>
      <c r="C15" s="4">
        <v>0.156941</v>
      </c>
      <c r="F15" s="2">
        <v>-16.898399999999999</v>
      </c>
      <c r="G15" s="4">
        <v>9.2159599999999994E-2</v>
      </c>
      <c r="H15" s="6">
        <v>-20.84</v>
      </c>
      <c r="I15" s="1">
        <v>0.05</v>
      </c>
      <c r="K15" s="1" t="s">
        <v>2</v>
      </c>
      <c r="L15" s="2">
        <v>-6.4630799999999997</v>
      </c>
      <c r="M15" s="4">
        <v>0.29448299999999999</v>
      </c>
      <c r="N15">
        <f t="shared" si="0"/>
        <v>294.483</v>
      </c>
    </row>
    <row r="16" spans="1:14">
      <c r="B16" s="2">
        <v>-6.9518800000000001</v>
      </c>
      <c r="C16" s="4">
        <v>0.16769899999999999</v>
      </c>
      <c r="F16" s="2">
        <v>-19.348099999999999</v>
      </c>
      <c r="G16" s="4">
        <v>0.109808</v>
      </c>
      <c r="K16" s="1" t="s">
        <v>2</v>
      </c>
      <c r="L16" s="2">
        <v>-7.0829500000000003</v>
      </c>
      <c r="M16" s="4">
        <v>0.30413800000000002</v>
      </c>
      <c r="N16">
        <f t="shared" si="0"/>
        <v>304.13800000000003</v>
      </c>
    </row>
    <row r="17" spans="2:14">
      <c r="B17" s="2">
        <v>-5.5143700000000004</v>
      </c>
      <c r="C17" s="4">
        <v>0.16898099999999999</v>
      </c>
      <c r="F17" s="2">
        <v>-19.946100000000001</v>
      </c>
      <c r="G17" s="4">
        <v>0.112219</v>
      </c>
      <c r="K17" s="1" t="s">
        <v>2</v>
      </c>
      <c r="L17" s="2">
        <v>-6.1528099999999997</v>
      </c>
      <c r="M17" s="4">
        <v>0.34275899999999998</v>
      </c>
      <c r="N17">
        <f t="shared" si="0"/>
        <v>342.75899999999996</v>
      </c>
    </row>
    <row r="18" spans="2:14">
      <c r="B18" s="2">
        <v>-4.9986600000000001</v>
      </c>
      <c r="C18" s="4">
        <v>0.180143</v>
      </c>
      <c r="D18" s="6">
        <v>-6.14</v>
      </c>
      <c r="E18" s="4">
        <v>0.15</v>
      </c>
      <c r="F18" s="2">
        <v>-18.981200000000001</v>
      </c>
      <c r="G18" s="4">
        <v>0.12603600000000001</v>
      </c>
      <c r="K18" s="1" t="s">
        <v>2</v>
      </c>
      <c r="L18" s="2">
        <v>-5.1932499999999999</v>
      </c>
      <c r="M18" s="4">
        <v>0.36689699999999997</v>
      </c>
      <c r="N18">
        <f t="shared" si="0"/>
        <v>366.89699999999999</v>
      </c>
    </row>
    <row r="19" spans="2:14">
      <c r="B19" s="2">
        <v>-6.9046900000000004</v>
      </c>
      <c r="C19" s="4">
        <v>0.207875</v>
      </c>
      <c r="F19" s="2">
        <v>-21.624199999999998</v>
      </c>
      <c r="G19" s="4">
        <v>0.12753400000000001</v>
      </c>
      <c r="K19" s="1" t="s">
        <v>2</v>
      </c>
      <c r="L19" s="2">
        <v>-6.4478</v>
      </c>
      <c r="M19" s="4">
        <v>0.376552</v>
      </c>
      <c r="N19">
        <f t="shared" si="0"/>
        <v>376.55200000000002</v>
      </c>
    </row>
    <row r="20" spans="2:14">
      <c r="B20" s="2">
        <v>-8.5451599999999992</v>
      </c>
      <c r="C20" s="4">
        <v>0.22781699999999999</v>
      </c>
      <c r="F20" s="2">
        <v>-20.659500000000001</v>
      </c>
      <c r="G20" s="4">
        <v>0.13064200000000001</v>
      </c>
      <c r="L20" s="2">
        <v>-7.7023799999999998</v>
      </c>
      <c r="M20" s="4">
        <v>0.38137900000000002</v>
      </c>
      <c r="N20">
        <f t="shared" si="0"/>
        <v>381.37900000000002</v>
      </c>
    </row>
    <row r="21" spans="2:14">
      <c r="B21" s="2">
        <v>-5.3105500000000001</v>
      </c>
      <c r="C21" s="4">
        <v>0.25745699999999999</v>
      </c>
      <c r="F21" s="2">
        <v>-19.54</v>
      </c>
      <c r="G21" s="4">
        <v>0.15256</v>
      </c>
      <c r="L21" s="2">
        <v>-5.5028499999999996</v>
      </c>
      <c r="M21" s="4">
        <v>0.42482799999999998</v>
      </c>
      <c r="N21">
        <f t="shared" si="0"/>
        <v>424.82799999999997</v>
      </c>
    </row>
    <row r="22" spans="2:14">
      <c r="B22" s="2">
        <v>-7.5449000000000002</v>
      </c>
      <c r="C22" s="4">
        <v>0.26081599999999999</v>
      </c>
      <c r="F22" s="2">
        <v>-18.556000000000001</v>
      </c>
      <c r="G22" s="4">
        <v>0.15567700000000001</v>
      </c>
      <c r="L22" s="2">
        <v>-8.1596399999999996</v>
      </c>
      <c r="M22" s="4">
        <v>0.42965500000000001</v>
      </c>
      <c r="N22">
        <f t="shared" si="0"/>
        <v>429.65500000000003</v>
      </c>
    </row>
    <row r="23" spans="2:14">
      <c r="B23" s="2">
        <v>-8.1541700000000006</v>
      </c>
      <c r="C23" s="4">
        <v>0.27365</v>
      </c>
      <c r="F23" s="2">
        <v>-20.986599999999999</v>
      </c>
      <c r="G23" s="4">
        <v>0.165302</v>
      </c>
      <c r="L23" s="2">
        <v>-6.31447</v>
      </c>
      <c r="M23" s="4">
        <v>0.453793</v>
      </c>
      <c r="N23">
        <f t="shared" si="0"/>
        <v>453.79300000000001</v>
      </c>
    </row>
    <row r="24" spans="2:14">
      <c r="B24" s="2">
        <v>-4.51342</v>
      </c>
      <c r="C24" s="4">
        <v>0.29027500000000001</v>
      </c>
      <c r="F24" s="2">
        <v>-19.326899999999998</v>
      </c>
      <c r="G24" s="4">
        <v>0.18746099999999999</v>
      </c>
      <c r="L24" s="2">
        <v>-7.9379400000000002</v>
      </c>
      <c r="M24" s="4">
        <v>0.47793099999999999</v>
      </c>
      <c r="N24">
        <f t="shared" si="0"/>
        <v>477.93099999999998</v>
      </c>
    </row>
    <row r="25" spans="2:14">
      <c r="B25" s="2">
        <v>-6.3258900000000002</v>
      </c>
      <c r="C25" s="4">
        <v>0.29400999999999999</v>
      </c>
      <c r="D25" s="6">
        <v>-6.76</v>
      </c>
      <c r="E25" s="4">
        <v>0.25</v>
      </c>
      <c r="F25" s="2">
        <v>-18.1694</v>
      </c>
      <c r="G25" s="4">
        <v>0.18797800000000001</v>
      </c>
      <c r="L25" s="2">
        <v>-8.0706600000000002</v>
      </c>
      <c r="M25" s="4">
        <v>0.49724099999999999</v>
      </c>
      <c r="N25">
        <f t="shared" si="0"/>
        <v>497.24099999999999</v>
      </c>
    </row>
    <row r="26" spans="2:14">
      <c r="B26" s="2">
        <v>-7.4039400000000004</v>
      </c>
      <c r="C26" s="4">
        <v>0.30375099999999999</v>
      </c>
      <c r="F26" s="2">
        <v>-23.0503</v>
      </c>
      <c r="G26" s="4">
        <v>0.193832</v>
      </c>
      <c r="L26" s="2">
        <v>-6.7863100000000003</v>
      </c>
      <c r="M26" s="4">
        <v>0.53103400000000001</v>
      </c>
      <c r="N26">
        <f t="shared" si="0"/>
        <v>531.03399999999999</v>
      </c>
    </row>
    <row r="27" spans="2:14">
      <c r="B27" s="2">
        <v>-3.99769</v>
      </c>
      <c r="C27" s="4">
        <v>0.30411300000000002</v>
      </c>
      <c r="F27" s="2">
        <v>-21.256</v>
      </c>
      <c r="G27" s="4">
        <v>0.194633</v>
      </c>
      <c r="H27" s="6">
        <v>-20.12</v>
      </c>
      <c r="I27" s="1">
        <v>0.15</v>
      </c>
      <c r="L27" s="2">
        <v>-8.3950999999999993</v>
      </c>
      <c r="M27" s="4">
        <v>0.54069</v>
      </c>
      <c r="N27">
        <f t="shared" si="0"/>
        <v>540.69000000000005</v>
      </c>
    </row>
    <row r="28" spans="2:14">
      <c r="B28" s="2">
        <v>-5.4350500000000004</v>
      </c>
      <c r="C28" s="4">
        <v>0.32156000000000001</v>
      </c>
      <c r="F28" s="2">
        <v>-23.397300000000001</v>
      </c>
      <c r="G28" s="4">
        <v>0.201709</v>
      </c>
      <c r="L28" s="2">
        <v>-7.1698599999999999</v>
      </c>
      <c r="M28" s="4">
        <v>0.564828</v>
      </c>
      <c r="N28">
        <f t="shared" si="0"/>
        <v>564.82799999999997</v>
      </c>
    </row>
    <row r="29" spans="2:14">
      <c r="B29" s="2">
        <v>-7.2005800000000004</v>
      </c>
      <c r="C29" s="4">
        <v>0.33336399999999999</v>
      </c>
      <c r="F29" s="2">
        <v>-23.165400000000002</v>
      </c>
      <c r="G29" s="4">
        <v>0.220554</v>
      </c>
      <c r="L29" s="2">
        <v>-8.3948300000000007</v>
      </c>
      <c r="M29" s="4">
        <v>0.58413800000000005</v>
      </c>
      <c r="N29">
        <f t="shared" si="0"/>
        <v>584.13800000000003</v>
      </c>
    </row>
    <row r="30" spans="2:14">
      <c r="B30" s="2">
        <v>-4.2629000000000001</v>
      </c>
      <c r="C30" s="4">
        <v>0.35738799999999998</v>
      </c>
      <c r="F30" s="2">
        <v>-20.117100000000001</v>
      </c>
      <c r="G30" s="4">
        <v>0.221915</v>
      </c>
      <c r="L30" s="2">
        <v>-5.9593100000000003</v>
      </c>
      <c r="M30" s="4">
        <v>0.59862099999999996</v>
      </c>
      <c r="N30">
        <f t="shared" si="0"/>
        <v>598.62099999999998</v>
      </c>
    </row>
    <row r="31" spans="2:14">
      <c r="B31" s="2">
        <v>-3.5440200000000002</v>
      </c>
      <c r="C31" s="4">
        <v>0.374083</v>
      </c>
      <c r="F31" s="2">
        <v>-21.3324</v>
      </c>
      <c r="G31" s="4">
        <v>0.229405</v>
      </c>
      <c r="L31" s="2">
        <v>-6.9333600000000004</v>
      </c>
      <c r="M31" s="4">
        <v>0.61793100000000001</v>
      </c>
      <c r="N31">
        <f t="shared" si="0"/>
        <v>617.93100000000004</v>
      </c>
    </row>
    <row r="32" spans="2:14">
      <c r="B32" s="2">
        <v>-4.5439400000000001</v>
      </c>
      <c r="C32" s="4">
        <v>0.38389299999999998</v>
      </c>
      <c r="D32" s="6">
        <v>-5.2</v>
      </c>
      <c r="E32" s="4">
        <v>0.35</v>
      </c>
      <c r="F32" s="2">
        <v>-19.7502</v>
      </c>
      <c r="G32" s="4">
        <v>0.23814299999999999</v>
      </c>
      <c r="L32" s="2">
        <v>-7.1250900000000001</v>
      </c>
      <c r="M32" s="4">
        <v>0.642069</v>
      </c>
      <c r="N32">
        <f t="shared" si="0"/>
        <v>642.06899999999996</v>
      </c>
    </row>
    <row r="33" spans="2:14">
      <c r="B33" s="2">
        <v>-4.2311199999999998</v>
      </c>
      <c r="C33" s="4">
        <v>0.42430600000000002</v>
      </c>
      <c r="F33" s="2">
        <v>-22.238700000000001</v>
      </c>
      <c r="G33" s="4">
        <v>0.245064</v>
      </c>
      <c r="L33" s="2">
        <v>-8.7337000000000007</v>
      </c>
      <c r="M33" s="4">
        <v>0.68069000000000002</v>
      </c>
      <c r="N33">
        <f t="shared" si="0"/>
        <v>680.69</v>
      </c>
    </row>
    <row r="34" spans="2:14">
      <c r="B34" s="2">
        <v>-8.7153200000000002</v>
      </c>
      <c r="C34" s="4">
        <v>0.44706299999999999</v>
      </c>
      <c r="F34" s="2">
        <v>-23.029499999999999</v>
      </c>
      <c r="G34" s="4">
        <v>0.25274400000000002</v>
      </c>
      <c r="L34" s="2">
        <v>-8.3202599999999993</v>
      </c>
      <c r="M34" s="4">
        <v>0.70482800000000001</v>
      </c>
      <c r="N34">
        <f t="shared" si="0"/>
        <v>704.82799999999997</v>
      </c>
    </row>
    <row r="35" spans="2:14">
      <c r="B35" s="2">
        <v>-4.7934200000000002</v>
      </c>
      <c r="C35" s="4">
        <v>0.45056099999999999</v>
      </c>
      <c r="F35" s="2">
        <v>-18.128900000000002</v>
      </c>
      <c r="G35" s="4">
        <v>0.26563999999999999</v>
      </c>
      <c r="L35" s="2">
        <v>-8.7481899999999992</v>
      </c>
      <c r="M35" s="4">
        <v>0.72413799999999995</v>
      </c>
      <c r="N35">
        <f t="shared" si="0"/>
        <v>724.13799999999992</v>
      </c>
    </row>
    <row r="36" spans="2:14">
      <c r="B36" s="2">
        <v>-7.5902500000000002</v>
      </c>
      <c r="C36" s="4">
        <v>0.45609300000000003</v>
      </c>
      <c r="F36" s="2">
        <v>-21.022500000000001</v>
      </c>
      <c r="G36" s="4">
        <v>0.28041300000000002</v>
      </c>
      <c r="L36" s="2">
        <v>-8.6297999999999995</v>
      </c>
      <c r="M36" s="4">
        <v>0.77241400000000004</v>
      </c>
      <c r="N36">
        <f t="shared" si="0"/>
        <v>772.4140000000001</v>
      </c>
    </row>
    <row r="37" spans="2:14">
      <c r="B37" s="2">
        <v>-5.9025299999999996</v>
      </c>
      <c r="C37" s="4">
        <v>0.48435400000000001</v>
      </c>
      <c r="D37" s="6">
        <v>-6.25</v>
      </c>
      <c r="E37" s="4">
        <v>0.45</v>
      </c>
      <c r="F37" s="2">
        <v>-22.990100000000002</v>
      </c>
      <c r="G37" s="4">
        <v>0.290244</v>
      </c>
      <c r="H37" s="6">
        <v>-21.52</v>
      </c>
      <c r="I37" s="1">
        <v>0.25</v>
      </c>
      <c r="L37" s="2">
        <v>-8.8362599999999993</v>
      </c>
      <c r="M37" s="4">
        <v>0.80137899999999995</v>
      </c>
      <c r="N37">
        <f t="shared" si="0"/>
        <v>801.37899999999991</v>
      </c>
    </row>
    <row r="38" spans="2:14">
      <c r="B38" s="2">
        <v>-7.4805200000000003</v>
      </c>
      <c r="C38" s="4">
        <v>0.50167600000000001</v>
      </c>
      <c r="F38" s="2">
        <v>-23.1632</v>
      </c>
      <c r="G38" s="4">
        <v>0.30890899999999999</v>
      </c>
      <c r="L38" s="2">
        <v>-7.1093200000000003</v>
      </c>
      <c r="M38" s="4">
        <v>0.80137899999999995</v>
      </c>
      <c r="N38">
        <f t="shared" si="0"/>
        <v>801.37899999999991</v>
      </c>
    </row>
    <row r="39" spans="2:14">
      <c r="B39" s="2">
        <v>-4.9960599999999999</v>
      </c>
      <c r="C39" s="4">
        <v>0.51191799999999998</v>
      </c>
      <c r="F39" s="2">
        <v>-20.732099999999999</v>
      </c>
      <c r="G39" s="4">
        <v>0.32070300000000002</v>
      </c>
      <c r="L39" s="2">
        <v>-8.4079999999999995</v>
      </c>
      <c r="M39" s="4">
        <v>0.83517200000000003</v>
      </c>
      <c r="N39">
        <f t="shared" si="0"/>
        <v>835.17200000000003</v>
      </c>
    </row>
    <row r="40" spans="2:14">
      <c r="B40" s="2">
        <v>-8.1522299999999994</v>
      </c>
      <c r="C40" s="4">
        <v>0.52248099999999997</v>
      </c>
      <c r="F40" s="2">
        <v>-19.883099999999999</v>
      </c>
      <c r="G40" s="4">
        <v>0.32643699999999998</v>
      </c>
      <c r="L40" s="2">
        <v>-7.5369999999999999</v>
      </c>
      <c r="M40" s="4">
        <v>0.85931000000000002</v>
      </c>
      <c r="N40">
        <f t="shared" si="0"/>
        <v>859.31000000000006</v>
      </c>
    </row>
    <row r="41" spans="2:14">
      <c r="B41" s="2">
        <v>-6.4489700000000001</v>
      </c>
      <c r="C41" s="4">
        <v>0.54005400000000003</v>
      </c>
      <c r="F41" s="2">
        <v>-19.593399999999999</v>
      </c>
      <c r="G41" s="4">
        <v>0.33727600000000002</v>
      </c>
      <c r="L41" s="2">
        <v>-6.9170100000000003</v>
      </c>
      <c r="M41" s="4">
        <v>0.86896600000000002</v>
      </c>
      <c r="N41">
        <f t="shared" si="0"/>
        <v>868.96600000000001</v>
      </c>
    </row>
    <row r="42" spans="2:14">
      <c r="B42" s="2">
        <v>-7.5114099999999997</v>
      </c>
      <c r="C42" s="4">
        <v>0.54713299999999998</v>
      </c>
      <c r="F42" s="2">
        <v>-21.773299999999999</v>
      </c>
      <c r="G42" s="4">
        <v>0.344335</v>
      </c>
      <c r="L42" s="2">
        <v>-8.6586800000000004</v>
      </c>
      <c r="M42" s="4">
        <v>0.87379300000000004</v>
      </c>
      <c r="N42">
        <f t="shared" si="0"/>
        <v>873.79300000000001</v>
      </c>
    </row>
    <row r="43" spans="2:14">
      <c r="B43" s="2">
        <v>-7.3549100000000003</v>
      </c>
      <c r="C43" s="4">
        <v>0.57938000000000001</v>
      </c>
      <c r="F43" s="2">
        <v>-19.3614</v>
      </c>
      <c r="G43" s="4">
        <v>0.35879800000000001</v>
      </c>
      <c r="L43" s="2">
        <v>-8.7469999999999999</v>
      </c>
      <c r="M43" s="4">
        <v>0.91241399999999995</v>
      </c>
      <c r="N43">
        <f t="shared" si="0"/>
        <v>912.41399999999999</v>
      </c>
    </row>
    <row r="44" spans="2:14">
      <c r="B44" s="2">
        <v>-8.8704800000000006</v>
      </c>
      <c r="C44" s="4">
        <v>0.58605499999999999</v>
      </c>
      <c r="D44" s="6">
        <v>-7.26</v>
      </c>
      <c r="E44" s="4">
        <v>0.55000000000000004</v>
      </c>
      <c r="F44" s="2">
        <v>-23.0459</v>
      </c>
      <c r="G44" s="4">
        <v>0.37321799999999999</v>
      </c>
      <c r="L44" s="2">
        <v>-7.6396499999999996</v>
      </c>
      <c r="M44" s="4">
        <v>0.96551699999999996</v>
      </c>
      <c r="N44">
        <f t="shared" si="0"/>
        <v>965.51699999999994</v>
      </c>
    </row>
    <row r="45" spans="2:14">
      <c r="B45" s="2">
        <v>-8.0577699999999997</v>
      </c>
      <c r="C45" s="4">
        <v>0.61353500000000005</v>
      </c>
      <c r="F45" s="2">
        <v>-24.396000000000001</v>
      </c>
      <c r="G45" s="4">
        <v>0.38868000000000003</v>
      </c>
      <c r="H45" s="6">
        <v>-21.49</v>
      </c>
      <c r="I45" s="1">
        <v>0.35</v>
      </c>
      <c r="L45" s="2">
        <v>-8.5842700000000001</v>
      </c>
      <c r="M45" s="4">
        <v>0.97034500000000001</v>
      </c>
      <c r="N45">
        <f t="shared" si="0"/>
        <v>970.34500000000003</v>
      </c>
    </row>
    <row r="46" spans="2:14">
      <c r="B46" s="2">
        <v>-7.3077199999999998</v>
      </c>
      <c r="C46" s="4">
        <v>0.619556</v>
      </c>
      <c r="F46" s="2">
        <v>-21.674900000000001</v>
      </c>
      <c r="G46" s="4">
        <v>0.42470000000000002</v>
      </c>
      <c r="L46" s="2">
        <v>-8.0527800000000003</v>
      </c>
      <c r="M46" s="4">
        <v>0.98965499999999995</v>
      </c>
      <c r="N46">
        <f t="shared" si="0"/>
        <v>989.65499999999997</v>
      </c>
    </row>
    <row r="47" spans="2:14">
      <c r="B47" s="2">
        <v>-8.9482499999999998</v>
      </c>
      <c r="C47" s="4">
        <v>0.63146999999999998</v>
      </c>
      <c r="F47" s="2">
        <v>-23.0059</v>
      </c>
      <c r="G47" s="4">
        <v>0.43213800000000002</v>
      </c>
      <c r="L47" s="2">
        <v>-8.2150800000000004</v>
      </c>
      <c r="M47" s="4">
        <v>0.99931000000000003</v>
      </c>
      <c r="N47">
        <f t="shared" si="0"/>
        <v>999.31000000000006</v>
      </c>
    </row>
    <row r="48" spans="2:14">
      <c r="B48" s="2">
        <v>-6.5105300000000002</v>
      </c>
      <c r="C48" s="4">
        <v>0.66039999999999999</v>
      </c>
      <c r="F48" s="2">
        <v>-23.796700000000001</v>
      </c>
      <c r="G48" s="4">
        <v>0.43981799999999999</v>
      </c>
      <c r="L48" s="2">
        <v>-8.0525099999999998</v>
      </c>
      <c r="M48" s="4">
        <v>1.0330999999999999</v>
      </c>
      <c r="N48">
        <f t="shared" si="0"/>
        <v>1033.0999999999999</v>
      </c>
    </row>
    <row r="49" spans="2:14">
      <c r="B49" s="2">
        <v>-8.1041799999999995</v>
      </c>
      <c r="C49" s="4">
        <v>0.67235699999999998</v>
      </c>
      <c r="D49" s="6">
        <v>-7.79</v>
      </c>
      <c r="E49" s="4">
        <v>0.65</v>
      </c>
      <c r="F49" s="2">
        <v>-24.201799999999999</v>
      </c>
      <c r="G49" s="4">
        <v>0.44231399999999998</v>
      </c>
      <c r="L49" s="2">
        <v>-7.28498</v>
      </c>
      <c r="M49" s="4">
        <v>1.0330999999999999</v>
      </c>
      <c r="N49">
        <f t="shared" si="0"/>
        <v>1033.0999999999999</v>
      </c>
    </row>
    <row r="50" spans="2:14">
      <c r="B50" s="2">
        <v>-6.3070899999999996</v>
      </c>
      <c r="C50" s="4">
        <v>0.70071600000000001</v>
      </c>
      <c r="F50" s="2">
        <v>-22.677299999999999</v>
      </c>
      <c r="G50" s="4">
        <v>0.45905899999999999</v>
      </c>
      <c r="L50" s="2">
        <v>-6.8272300000000001</v>
      </c>
      <c r="M50" s="4">
        <v>1.0620700000000001</v>
      </c>
      <c r="N50">
        <f t="shared" si="0"/>
        <v>1062.0700000000002</v>
      </c>
    </row>
    <row r="51" spans="2:14">
      <c r="B51" s="2">
        <v>-8.3068899999999992</v>
      </c>
      <c r="C51" s="4">
        <v>0.725688</v>
      </c>
      <c r="F51" s="2">
        <v>-22.271799999999999</v>
      </c>
      <c r="G51" s="4">
        <v>0.47262700000000002</v>
      </c>
      <c r="L51" s="2">
        <v>-6.5318699999999996</v>
      </c>
      <c r="M51" s="4">
        <v>1.0862099999999999</v>
      </c>
      <c r="N51">
        <f t="shared" si="0"/>
        <v>1086.2099999999998</v>
      </c>
    </row>
    <row r="52" spans="2:14">
      <c r="B52" s="2">
        <v>-7.4473200000000004</v>
      </c>
      <c r="C52" s="4">
        <v>0.75053499999999995</v>
      </c>
      <c r="F52" s="2">
        <v>-23.969100000000001</v>
      </c>
      <c r="G52" s="4">
        <v>0.49061100000000002</v>
      </c>
      <c r="H52" s="6">
        <v>-23.09</v>
      </c>
      <c r="I52" s="1">
        <v>0.45</v>
      </c>
      <c r="L52" s="2">
        <v>-7.3583499999999997</v>
      </c>
      <c r="M52" s="4">
        <v>1.1006899999999999</v>
      </c>
      <c r="N52">
        <f t="shared" si="0"/>
        <v>1100.69</v>
      </c>
    </row>
    <row r="53" spans="2:14">
      <c r="B53" s="2">
        <v>-7.5720700000000001</v>
      </c>
      <c r="C53" s="4">
        <v>0.78253099999999998</v>
      </c>
      <c r="F53" s="2">
        <v>-18.142499999999998</v>
      </c>
      <c r="G53" s="4">
        <v>0.50124299999999999</v>
      </c>
      <c r="L53" s="2">
        <v>-7.4911000000000003</v>
      </c>
      <c r="M53" s="4">
        <v>1.11517</v>
      </c>
      <c r="N53">
        <f t="shared" si="0"/>
        <v>1115.17</v>
      </c>
    </row>
    <row r="54" spans="2:14">
      <c r="B54" s="2">
        <v>-8.6658100000000005</v>
      </c>
      <c r="C54" s="4">
        <v>0.78423100000000001</v>
      </c>
      <c r="D54" s="6">
        <v>-7.66</v>
      </c>
      <c r="E54" s="4">
        <v>0.75</v>
      </c>
      <c r="F54" s="2">
        <v>-20.071400000000001</v>
      </c>
      <c r="G54" s="4">
        <v>0.51644599999999996</v>
      </c>
      <c r="L54" s="2">
        <v>-6.7382099999999996</v>
      </c>
      <c r="M54" s="4">
        <v>1.1344799999999999</v>
      </c>
      <c r="N54">
        <f t="shared" si="0"/>
        <v>1134.48</v>
      </c>
    </row>
    <row r="55" spans="2:14">
      <c r="B55" s="2">
        <v>-8.4780800000000003</v>
      </c>
      <c r="C55" s="4">
        <v>0.81383000000000005</v>
      </c>
      <c r="F55" s="2">
        <v>-23.5825</v>
      </c>
      <c r="G55" s="4">
        <v>0.52291200000000004</v>
      </c>
      <c r="L55" s="2">
        <v>-7.2397200000000002</v>
      </c>
      <c r="M55" s="4">
        <v>1.1875899999999999</v>
      </c>
      <c r="N55">
        <f t="shared" si="0"/>
        <v>1187.5899999999999</v>
      </c>
    </row>
    <row r="56" spans="2:14">
      <c r="B56" s="2">
        <v>-9.0716000000000001</v>
      </c>
      <c r="C56" s="4">
        <v>0.84273200000000004</v>
      </c>
      <c r="F56" s="2">
        <v>-23.890899999999998</v>
      </c>
      <c r="G56" s="4">
        <v>0.536161</v>
      </c>
      <c r="L56" s="2">
        <v>-6.44252</v>
      </c>
      <c r="M56" s="4">
        <v>1.2117199999999999</v>
      </c>
      <c r="N56">
        <f t="shared" si="0"/>
        <v>1211.7199999999998</v>
      </c>
    </row>
    <row r="57" spans="2:14">
      <c r="B57" s="2">
        <v>-9.6337299999999999</v>
      </c>
      <c r="C57" s="4">
        <v>0.89039100000000004</v>
      </c>
      <c r="D57" s="6">
        <v>-9.06</v>
      </c>
      <c r="E57" s="4">
        <v>0.85</v>
      </c>
      <c r="F57" s="2">
        <v>-23.5625</v>
      </c>
      <c r="G57" s="4">
        <v>0.55237199999999997</v>
      </c>
      <c r="L57" s="2">
        <v>-7.6970099999999997</v>
      </c>
      <c r="M57" s="4">
        <v>1.2310300000000001</v>
      </c>
      <c r="N57">
        <f t="shared" si="0"/>
        <v>1231.03</v>
      </c>
    </row>
    <row r="58" spans="2:14">
      <c r="B58" s="2">
        <v>-8.8210599999999992</v>
      </c>
      <c r="C58" s="4">
        <v>0.91252</v>
      </c>
      <c r="F58" s="2">
        <v>-20.7455</v>
      </c>
      <c r="G58" s="4">
        <v>0.56433800000000001</v>
      </c>
      <c r="L58" s="2">
        <v>-7.5197000000000003</v>
      </c>
      <c r="M58" s="4">
        <v>1.26</v>
      </c>
      <c r="N58">
        <f t="shared" si="0"/>
        <v>1260</v>
      </c>
    </row>
    <row r="59" spans="2:14">
      <c r="B59" s="2">
        <v>-7.47722</v>
      </c>
      <c r="C59" s="4">
        <v>0.92442100000000005</v>
      </c>
      <c r="F59" s="2">
        <v>-21.652200000000001</v>
      </c>
      <c r="G59" s="4">
        <v>0.56661099999999998</v>
      </c>
      <c r="L59" s="2">
        <v>-8.5527599999999993</v>
      </c>
      <c r="M59" s="4">
        <v>1.2841400000000001</v>
      </c>
      <c r="N59">
        <f t="shared" si="0"/>
        <v>1284.1400000000001</v>
      </c>
    </row>
    <row r="60" spans="2:14">
      <c r="B60" s="2">
        <v>-8.4770599999999998</v>
      </c>
      <c r="C60" s="4">
        <v>0.94493400000000005</v>
      </c>
      <c r="F60" s="2">
        <v>-21.034500000000001</v>
      </c>
      <c r="G60" s="4">
        <v>0.58027399999999996</v>
      </c>
      <c r="L60" s="2">
        <v>-8.3901299999999992</v>
      </c>
      <c r="M60" s="4">
        <v>1.32759</v>
      </c>
      <c r="N60">
        <f t="shared" si="0"/>
        <v>1327.5900000000001</v>
      </c>
    </row>
    <row r="61" spans="2:14">
      <c r="B61" s="2">
        <v>-7.4458000000000002</v>
      </c>
      <c r="C61" s="4">
        <v>0.94585399999999997</v>
      </c>
      <c r="F61" s="2">
        <v>-19.645399999999999</v>
      </c>
      <c r="G61" s="4">
        <v>0.58357099999999995</v>
      </c>
      <c r="L61" s="2">
        <v>-7.97675</v>
      </c>
      <c r="M61" s="4">
        <v>1.3420700000000001</v>
      </c>
      <c r="N61">
        <f t="shared" si="0"/>
        <v>1342.0700000000002</v>
      </c>
    </row>
    <row r="62" spans="2:14">
      <c r="B62" s="2">
        <v>-7.99247</v>
      </c>
      <c r="C62" s="4">
        <v>0.97212200000000004</v>
      </c>
      <c r="F62" s="2">
        <v>-19.220700000000001</v>
      </c>
      <c r="G62" s="4">
        <v>0.59179300000000001</v>
      </c>
      <c r="L62" s="2">
        <v>-8.0947099999999992</v>
      </c>
      <c r="M62" s="4">
        <v>1.36138</v>
      </c>
      <c r="N62">
        <f t="shared" si="0"/>
        <v>1361.38</v>
      </c>
    </row>
    <row r="63" spans="2:14">
      <c r="B63" s="2">
        <v>-8.3048000000000002</v>
      </c>
      <c r="C63" s="4">
        <v>0.99324800000000002</v>
      </c>
      <c r="D63" s="6">
        <v>-8.09</v>
      </c>
      <c r="E63" s="4">
        <v>0.95</v>
      </c>
      <c r="F63" s="2">
        <v>-21.4392</v>
      </c>
      <c r="G63" s="4">
        <v>0.59883500000000001</v>
      </c>
      <c r="H63" s="6">
        <v>-21.18</v>
      </c>
      <c r="I63" s="1">
        <v>0.55000000000000004</v>
      </c>
      <c r="L63" s="2">
        <v>-8.80307</v>
      </c>
      <c r="M63" s="4">
        <v>1.38069</v>
      </c>
      <c r="N63">
        <f t="shared" si="0"/>
        <v>1380.69</v>
      </c>
    </row>
    <row r="64" spans="2:14">
      <c r="B64" s="2">
        <v>-9.1328300000000002</v>
      </c>
      <c r="C64" s="4">
        <v>1.00589</v>
      </c>
      <c r="F64" s="2">
        <v>-23.194800000000001</v>
      </c>
      <c r="G64" s="4">
        <v>0.60072899999999996</v>
      </c>
      <c r="L64" s="2">
        <v>-8.1681699999999999</v>
      </c>
      <c r="M64" s="4">
        <v>1.41448</v>
      </c>
      <c r="N64">
        <f t="shared" si="0"/>
        <v>1414.48</v>
      </c>
    </row>
    <row r="65" spans="2:14">
      <c r="B65" s="2">
        <v>-5.6483499999999998</v>
      </c>
      <c r="C65" s="4">
        <v>1.0197000000000001</v>
      </c>
      <c r="F65" s="2">
        <v>-22.3843</v>
      </c>
      <c r="G65" s="4">
        <v>0.60912299999999997</v>
      </c>
      <c r="L65" s="2">
        <v>-8.4927399999999995</v>
      </c>
      <c r="M65" s="4">
        <v>1.43862</v>
      </c>
      <c r="N65">
        <f t="shared" si="0"/>
        <v>1438.6200000000001</v>
      </c>
    </row>
    <row r="66" spans="2:14">
      <c r="B66" s="2">
        <v>-8.3045500000000008</v>
      </c>
      <c r="C66" s="4">
        <v>1.02536</v>
      </c>
      <c r="F66" s="2">
        <v>-23.985399999999998</v>
      </c>
      <c r="G66" s="4">
        <v>0.61643999999999999</v>
      </c>
      <c r="L66" s="2">
        <v>-7.7840100000000003</v>
      </c>
      <c r="M66" s="4">
        <v>1.4772400000000001</v>
      </c>
      <c r="N66">
        <f t="shared" si="0"/>
        <v>1477.24</v>
      </c>
    </row>
    <row r="67" spans="2:14">
      <c r="B67" s="2">
        <v>-8.7106600000000007</v>
      </c>
      <c r="C67" s="4">
        <v>1.04372</v>
      </c>
      <c r="F67" s="2">
        <v>-22.692499999999999</v>
      </c>
      <c r="G67" s="4">
        <v>0.62772700000000003</v>
      </c>
      <c r="L67" s="2">
        <v>-8.7577599999999993</v>
      </c>
      <c r="M67" s="4">
        <v>1.5448299999999999</v>
      </c>
      <c r="N67">
        <f t="shared" si="0"/>
        <v>1544.83</v>
      </c>
    </row>
    <row r="68" spans="2:14">
      <c r="B68" s="2">
        <v>-7.56996</v>
      </c>
      <c r="C68" s="4">
        <v>1.05277</v>
      </c>
      <c r="F68" s="2">
        <v>-23.232500000000002</v>
      </c>
      <c r="G68" s="4">
        <v>0.63819499999999996</v>
      </c>
      <c r="L68" s="2">
        <v>-8.74254</v>
      </c>
      <c r="M68" s="4">
        <v>1.61724</v>
      </c>
      <c r="N68">
        <f t="shared" si="0"/>
        <v>1617.24</v>
      </c>
    </row>
    <row r="69" spans="2:14">
      <c r="B69" s="2">
        <v>-6.6478700000000002</v>
      </c>
      <c r="C69" s="4">
        <v>1.0803400000000001</v>
      </c>
      <c r="F69" s="2">
        <v>-24.563500000000001</v>
      </c>
      <c r="G69" s="4">
        <v>0.64295599999999997</v>
      </c>
      <c r="L69" s="2">
        <v>-7.7679999999999998</v>
      </c>
      <c r="M69" s="4">
        <v>1.67517</v>
      </c>
      <c r="N69">
        <f t="shared" si="0"/>
        <v>1675.17</v>
      </c>
    </row>
    <row r="70" spans="2:14">
      <c r="B70" s="2">
        <v>-7.7728400000000004</v>
      </c>
      <c r="C70" s="4">
        <v>1.0846899999999999</v>
      </c>
      <c r="D70" s="6">
        <v>-7.68</v>
      </c>
      <c r="E70" s="4">
        <v>1.05</v>
      </c>
      <c r="F70" s="2">
        <v>-24.775500000000001</v>
      </c>
      <c r="G70" s="4">
        <v>0.65357100000000001</v>
      </c>
      <c r="L70" s="2">
        <v>-7.6644399999999999</v>
      </c>
      <c r="M70" s="4">
        <v>1.7137899999999999</v>
      </c>
      <c r="N70">
        <f t="shared" si="0"/>
        <v>1713.79</v>
      </c>
    </row>
    <row r="71" spans="2:14">
      <c r="B71" s="2">
        <v>-8.6945300000000003</v>
      </c>
      <c r="C71" s="4">
        <v>1.10795</v>
      </c>
      <c r="F71" s="2">
        <v>-22.3249</v>
      </c>
      <c r="G71" s="4">
        <v>0.67072900000000002</v>
      </c>
      <c r="L71" s="2">
        <v>-8.7712599999999998</v>
      </c>
      <c r="M71" s="4">
        <v>1.7427600000000001</v>
      </c>
      <c r="N71">
        <f t="shared" ref="N71:N134" si="1">1000*M71</f>
        <v>1742.76</v>
      </c>
    </row>
    <row r="72" spans="2:14">
      <c r="B72" s="2">
        <v>-6.7725799999999996</v>
      </c>
      <c r="C72" s="4">
        <v>1.1176900000000001</v>
      </c>
      <c r="F72" s="2">
        <v>-23.984000000000002</v>
      </c>
      <c r="G72" s="4">
        <v>0.67534300000000003</v>
      </c>
      <c r="L72" s="2">
        <v>-7.7968200000000003</v>
      </c>
      <c r="M72" s="4">
        <v>1.7862100000000001</v>
      </c>
      <c r="N72">
        <f t="shared" si="1"/>
        <v>1786.21</v>
      </c>
    </row>
    <row r="73" spans="2:14">
      <c r="B73" s="2">
        <v>-7.2880599999999998</v>
      </c>
      <c r="C73" s="4">
        <v>1.1359600000000001</v>
      </c>
      <c r="F73" s="2">
        <v>-23.366499999999998</v>
      </c>
      <c r="G73" s="4">
        <v>0.68097300000000005</v>
      </c>
      <c r="L73" s="2">
        <v>-8.62317</v>
      </c>
      <c r="M73" s="4">
        <v>1.82</v>
      </c>
      <c r="N73">
        <f t="shared" si="1"/>
        <v>1820</v>
      </c>
    </row>
    <row r="74" spans="2:14">
      <c r="B74" s="2">
        <v>-8.4910499999999995</v>
      </c>
      <c r="C74" s="4">
        <v>1.1536200000000001</v>
      </c>
      <c r="F74" s="2">
        <v>-21.244</v>
      </c>
      <c r="G74" s="4">
        <v>0.69262999999999997</v>
      </c>
      <c r="H74" s="6">
        <v>-23.25</v>
      </c>
      <c r="I74" s="1">
        <v>0.65</v>
      </c>
      <c r="L74" s="2">
        <v>-8.1061999999999994</v>
      </c>
      <c r="M74" s="4">
        <v>1.8779300000000001</v>
      </c>
      <c r="N74">
        <f t="shared" si="1"/>
        <v>1877.93</v>
      </c>
    </row>
    <row r="75" spans="2:14">
      <c r="B75" s="2">
        <v>-7.75657</v>
      </c>
      <c r="C75" s="4">
        <v>1.1676500000000001</v>
      </c>
      <c r="F75" s="2">
        <v>-24.021699999999999</v>
      </c>
      <c r="G75" s="4">
        <v>0.71281000000000005</v>
      </c>
      <c r="L75" s="2">
        <v>-8.3273899999999994</v>
      </c>
      <c r="M75" s="4">
        <v>1.9117200000000001</v>
      </c>
      <c r="N75">
        <f t="shared" si="1"/>
        <v>1911.72</v>
      </c>
    </row>
    <row r="76" spans="2:14">
      <c r="B76" s="2">
        <v>-8.2408800000000006</v>
      </c>
      <c r="C76" s="4">
        <v>1.1752499999999999</v>
      </c>
      <c r="F76" s="2">
        <v>-23.461300000000001</v>
      </c>
      <c r="G76" s="4">
        <v>0.74786600000000003</v>
      </c>
      <c r="L76" s="2">
        <v>-8.68154</v>
      </c>
      <c r="M76" s="4">
        <v>1.92621</v>
      </c>
      <c r="N76">
        <f t="shared" si="1"/>
        <v>1926.21</v>
      </c>
    </row>
    <row r="77" spans="2:14">
      <c r="B77" s="2">
        <v>-8.3970099999999999</v>
      </c>
      <c r="C77" s="4">
        <v>1.19116</v>
      </c>
      <c r="F77" s="2">
        <v>-24.6767</v>
      </c>
      <c r="G77" s="4">
        <v>0.75267799999999996</v>
      </c>
      <c r="L77" s="2">
        <v>-8.7403700000000004</v>
      </c>
      <c r="M77" s="4">
        <v>1.96</v>
      </c>
      <c r="N77">
        <f t="shared" si="1"/>
        <v>1960</v>
      </c>
    </row>
    <row r="78" spans="2:14">
      <c r="B78" s="2">
        <v>-6.0375699999999997</v>
      </c>
      <c r="C78" s="4">
        <v>1.19861</v>
      </c>
      <c r="F78" s="2">
        <v>-24.2712</v>
      </c>
      <c r="G78" s="4">
        <v>0.76624599999999998</v>
      </c>
      <c r="L78" s="2">
        <v>-7.3380000000000001</v>
      </c>
      <c r="M78" s="4">
        <v>1.98414</v>
      </c>
      <c r="N78">
        <f t="shared" si="1"/>
        <v>1984.14</v>
      </c>
    </row>
    <row r="79" spans="2:14">
      <c r="B79" s="2">
        <v>-7.7718600000000002</v>
      </c>
      <c r="C79" s="4">
        <v>1.21045</v>
      </c>
      <c r="F79" s="2">
        <v>-23.229399999999998</v>
      </c>
      <c r="G79" s="4">
        <v>0.76671100000000003</v>
      </c>
      <c r="L79" s="2">
        <v>-8.3858499999999996</v>
      </c>
      <c r="M79" s="4">
        <v>2.00345</v>
      </c>
      <c r="N79">
        <f t="shared" si="1"/>
        <v>2003.45</v>
      </c>
    </row>
    <row r="80" spans="2:14">
      <c r="B80" s="2">
        <v>-8.1935900000000004</v>
      </c>
      <c r="C80" s="4">
        <v>1.2287999999999999</v>
      </c>
      <c r="F80" s="2">
        <v>-22.7852</v>
      </c>
      <c r="G80" s="4">
        <v>0.78564999999999996</v>
      </c>
      <c r="L80" s="2">
        <v>-8.0901899999999998</v>
      </c>
      <c r="M80" s="4">
        <v>2.07586</v>
      </c>
      <c r="N80">
        <f t="shared" si="1"/>
        <v>2075.86</v>
      </c>
    </row>
    <row r="81" spans="2:14">
      <c r="B81" s="2">
        <v>-6.5841000000000003</v>
      </c>
      <c r="C81" s="4">
        <v>1.2436100000000001</v>
      </c>
      <c r="F81" s="2">
        <v>-24.1934</v>
      </c>
      <c r="G81" s="4">
        <v>0.79305400000000004</v>
      </c>
      <c r="H81" s="6">
        <v>-23.81</v>
      </c>
      <c r="I81" s="1">
        <v>0.75</v>
      </c>
      <c r="L81" s="2">
        <v>-7.6619599999999997</v>
      </c>
      <c r="M81" s="4">
        <v>2.1048300000000002</v>
      </c>
      <c r="N81">
        <f t="shared" si="1"/>
        <v>2104.8300000000004</v>
      </c>
    </row>
    <row r="82" spans="2:14">
      <c r="B82" s="2">
        <v>-5.52142</v>
      </c>
      <c r="C82" s="4">
        <v>1.26596</v>
      </c>
      <c r="F82" s="2">
        <v>-24.096599999999999</v>
      </c>
      <c r="G82" s="4">
        <v>0.80380700000000005</v>
      </c>
      <c r="L82" s="2">
        <v>-8.0308100000000007</v>
      </c>
      <c r="M82" s="4">
        <v>2.1289699999999998</v>
      </c>
      <c r="N82">
        <f t="shared" si="1"/>
        <v>2128.9699999999998</v>
      </c>
    </row>
    <row r="83" spans="2:14">
      <c r="B83" s="2">
        <v>-6.7401</v>
      </c>
      <c r="C83" s="4">
        <v>1.2755799999999999</v>
      </c>
      <c r="F83" s="2">
        <v>-23.710599999999999</v>
      </c>
      <c r="G83" s="4">
        <v>0.81201100000000004</v>
      </c>
      <c r="L83" s="2">
        <v>-6.8793100000000003</v>
      </c>
      <c r="M83" s="4">
        <v>2.16276</v>
      </c>
      <c r="N83">
        <f t="shared" si="1"/>
        <v>2162.7600000000002</v>
      </c>
    </row>
    <row r="84" spans="2:14">
      <c r="B84" s="2">
        <v>-9.3337400000000006</v>
      </c>
      <c r="C84" s="4">
        <v>1.28932</v>
      </c>
      <c r="F84" s="2">
        <v>-22.012799999999999</v>
      </c>
      <c r="G84" s="4">
        <v>0.815446</v>
      </c>
      <c r="L84" s="2">
        <v>-7.6908399999999997</v>
      </c>
      <c r="M84" s="4">
        <v>2.20621</v>
      </c>
      <c r="N84">
        <f t="shared" si="1"/>
        <v>2206.21</v>
      </c>
    </row>
    <row r="85" spans="2:14">
      <c r="B85" s="2">
        <v>-6.9273499999999997</v>
      </c>
      <c r="C85" s="4">
        <v>1.30752</v>
      </c>
      <c r="F85" s="2">
        <v>-21.6265</v>
      </c>
      <c r="G85" s="4">
        <v>0.83435999999999999</v>
      </c>
      <c r="L85" s="2">
        <v>-7.1149800000000001</v>
      </c>
      <c r="M85" s="4">
        <v>2.2400000000000002</v>
      </c>
      <c r="N85">
        <f t="shared" si="1"/>
        <v>2240</v>
      </c>
    </row>
    <row r="86" spans="2:14">
      <c r="B86" s="2">
        <v>-6.4115500000000001</v>
      </c>
      <c r="C86" s="4">
        <v>1.32938</v>
      </c>
      <c r="F86" s="2">
        <v>-22.919</v>
      </c>
      <c r="G86" s="4">
        <v>0.83646100000000001</v>
      </c>
      <c r="L86" s="2">
        <v>-6.53918</v>
      </c>
      <c r="M86" s="4">
        <v>2.2641399999999998</v>
      </c>
      <c r="N86">
        <f t="shared" si="1"/>
        <v>2264.14</v>
      </c>
    </row>
    <row r="87" spans="2:14">
      <c r="B87" s="2">
        <v>-7.8801399999999999</v>
      </c>
      <c r="C87" s="4">
        <v>1.34948</v>
      </c>
      <c r="F87" s="2">
        <v>-23.6907</v>
      </c>
      <c r="G87" s="4">
        <v>0.83879400000000004</v>
      </c>
      <c r="L87" s="2">
        <v>-7.0112899999999998</v>
      </c>
      <c r="M87" s="4">
        <v>2.29793</v>
      </c>
      <c r="N87">
        <f t="shared" si="1"/>
        <v>2297.9299999999998</v>
      </c>
    </row>
    <row r="88" spans="2:14">
      <c r="B88" s="2">
        <v>-6.7706600000000003</v>
      </c>
      <c r="C88" s="4">
        <v>1.36385</v>
      </c>
      <c r="F88" s="2">
        <v>-21.78</v>
      </c>
      <c r="G88" s="4">
        <v>0.86641999999999997</v>
      </c>
      <c r="L88" s="2">
        <v>-7.51302</v>
      </c>
      <c r="M88" s="4">
        <v>2.31724</v>
      </c>
      <c r="N88">
        <f t="shared" si="1"/>
        <v>2317.2399999999998</v>
      </c>
    </row>
    <row r="89" spans="2:14">
      <c r="B89" s="2">
        <v>-8.1298999999999992</v>
      </c>
      <c r="C89" s="4">
        <v>1.3813599999999999</v>
      </c>
      <c r="F89" s="2">
        <v>-22.706</v>
      </c>
      <c r="G89" s="4">
        <v>0.86868400000000001</v>
      </c>
      <c r="L89" s="2">
        <v>-7.4094199999999999</v>
      </c>
      <c r="M89" s="4">
        <v>2.36069</v>
      </c>
      <c r="N89">
        <f t="shared" si="1"/>
        <v>2360.69</v>
      </c>
    </row>
    <row r="90" spans="2:14">
      <c r="B90" s="2">
        <v>-7.0827999999999998</v>
      </c>
      <c r="C90" s="4">
        <v>1.4090499999999999</v>
      </c>
      <c r="F90" s="2">
        <v>-23.419699999999999</v>
      </c>
      <c r="G90" s="4">
        <v>0.87372099999999997</v>
      </c>
      <c r="L90" s="2">
        <v>-8.1472800000000003</v>
      </c>
      <c r="M90" s="4">
        <v>2.38483</v>
      </c>
      <c r="N90">
        <f t="shared" si="1"/>
        <v>2384.83</v>
      </c>
    </row>
    <row r="91" spans="2:14">
      <c r="B91" s="2">
        <v>-8.4733599999999996</v>
      </c>
      <c r="C91" s="4">
        <v>1.41852</v>
      </c>
      <c r="F91" s="2">
        <v>-23.7089</v>
      </c>
      <c r="G91" s="4">
        <v>0.88162399999999996</v>
      </c>
      <c r="L91" s="2">
        <v>-6.33169</v>
      </c>
      <c r="M91" s="4">
        <v>2.3993099999999998</v>
      </c>
      <c r="N91">
        <f t="shared" si="1"/>
        <v>2399.31</v>
      </c>
    </row>
    <row r="92" spans="2:14">
      <c r="B92" s="2">
        <v>-7.7543899999999999</v>
      </c>
      <c r="C92" s="4">
        <v>1.44591</v>
      </c>
      <c r="F92" s="2">
        <v>-22.840399999999999</v>
      </c>
      <c r="G92" s="4">
        <v>0.89539800000000003</v>
      </c>
      <c r="H92" s="6">
        <v>-22.96</v>
      </c>
      <c r="I92" s="1">
        <v>0.85</v>
      </c>
      <c r="L92" s="2">
        <v>-7.1876499999999997</v>
      </c>
      <c r="M92" s="4">
        <v>2.4186200000000002</v>
      </c>
      <c r="N92">
        <f t="shared" si="1"/>
        <v>2418.6200000000003</v>
      </c>
    </row>
    <row r="93" spans="2:14">
      <c r="B93" s="2">
        <v>-8.53538</v>
      </c>
      <c r="C93" s="4">
        <v>1.48</v>
      </c>
      <c r="F93" s="2">
        <v>-24.190799999999999</v>
      </c>
      <c r="G93" s="4">
        <v>0.90015000000000001</v>
      </c>
      <c r="L93" s="2">
        <v>-7.7188999999999997</v>
      </c>
      <c r="M93" s="4">
        <v>2.4379300000000002</v>
      </c>
      <c r="N93">
        <f t="shared" si="1"/>
        <v>2437.9300000000003</v>
      </c>
    </row>
    <row r="94" spans="2:14">
      <c r="B94" s="2">
        <v>-8.4102700000000006</v>
      </c>
      <c r="C94" s="4">
        <v>1.49349</v>
      </c>
      <c r="F94" s="2">
        <v>-24.769400000000001</v>
      </c>
      <c r="G94" s="4">
        <v>0.90792399999999995</v>
      </c>
      <c r="L94" s="2">
        <v>-6.2722499999999997</v>
      </c>
      <c r="M94" s="4">
        <v>2.4620700000000002</v>
      </c>
      <c r="N94">
        <f t="shared" si="1"/>
        <v>2462.0700000000002</v>
      </c>
    </row>
    <row r="95" spans="2:14">
      <c r="B95" s="2">
        <v>-8.6913999999999998</v>
      </c>
      <c r="C95" s="4">
        <v>1.50929</v>
      </c>
      <c r="F95" s="2">
        <v>-23.456900000000001</v>
      </c>
      <c r="G95" s="4">
        <v>0.93260600000000005</v>
      </c>
      <c r="L95" s="2">
        <v>-5.81447</v>
      </c>
      <c r="M95" s="4">
        <v>2.49586</v>
      </c>
      <c r="N95">
        <f t="shared" si="1"/>
        <v>2495.86</v>
      </c>
    </row>
    <row r="96" spans="2:14">
      <c r="B96" s="2">
        <v>-7.4568199999999996</v>
      </c>
      <c r="C96" s="4">
        <v>1.53447</v>
      </c>
      <c r="F96" s="2">
        <v>-23.1675</v>
      </c>
      <c r="G96" s="4">
        <v>0.93273600000000001</v>
      </c>
      <c r="L96" s="2">
        <v>-7.0837199999999996</v>
      </c>
      <c r="M96" s="4">
        <v>2.5151699999999999</v>
      </c>
      <c r="N96">
        <f t="shared" si="1"/>
        <v>2515.17</v>
      </c>
    </row>
    <row r="97" spans="2:14">
      <c r="B97" s="2">
        <v>-7.5973300000000004</v>
      </c>
      <c r="C97" s="4">
        <v>1.5504</v>
      </c>
      <c r="F97" s="2">
        <v>-24.151399999999999</v>
      </c>
      <c r="G97" s="4">
        <v>0.93497399999999997</v>
      </c>
      <c r="L97" s="2">
        <v>-7.2163199999999996</v>
      </c>
      <c r="M97" s="4">
        <v>2.5537899999999998</v>
      </c>
      <c r="N97">
        <f t="shared" si="1"/>
        <v>2553.79</v>
      </c>
    </row>
    <row r="98" spans="2:14">
      <c r="B98" s="2">
        <v>-7.5190099999999997</v>
      </c>
      <c r="C98" s="4">
        <v>1.5745499999999999</v>
      </c>
      <c r="F98" s="2">
        <v>-22.82</v>
      </c>
      <c r="G98" s="4">
        <v>0.94092299999999995</v>
      </c>
      <c r="L98" s="2">
        <v>-5.9172099999999999</v>
      </c>
      <c r="M98" s="4">
        <v>2.5875900000000001</v>
      </c>
      <c r="N98">
        <f t="shared" si="1"/>
        <v>2587.59</v>
      </c>
    </row>
    <row r="99" spans="2:14">
      <c r="B99" s="2">
        <v>-8.5968900000000001</v>
      </c>
      <c r="C99" s="4">
        <v>1.6056999999999999</v>
      </c>
      <c r="F99" s="2">
        <v>-19.173400000000001</v>
      </c>
      <c r="G99" s="4">
        <v>0.95325899999999997</v>
      </c>
      <c r="L99" s="2">
        <v>-6.7287400000000002</v>
      </c>
      <c r="M99" s="4">
        <v>2.63103</v>
      </c>
      <c r="N99">
        <f t="shared" si="1"/>
        <v>2631.03</v>
      </c>
    </row>
    <row r="100" spans="2:14">
      <c r="B100" s="2">
        <v>-7.7060700000000004</v>
      </c>
      <c r="C100" s="4">
        <v>1.6305700000000001</v>
      </c>
      <c r="F100" s="2">
        <v>-22.954599999999999</v>
      </c>
      <c r="G100" s="4">
        <v>0.96228199999999997</v>
      </c>
      <c r="L100" s="2">
        <v>-5.9906100000000002</v>
      </c>
      <c r="M100" s="4">
        <v>2.6503399999999999</v>
      </c>
      <c r="N100">
        <f t="shared" si="1"/>
        <v>2650.34</v>
      </c>
    </row>
    <row r="101" spans="2:14">
      <c r="B101" s="2">
        <v>-8.0966199999999997</v>
      </c>
      <c r="C101" s="4">
        <v>1.64093</v>
      </c>
      <c r="F101" s="2">
        <v>-22.414100000000001</v>
      </c>
      <c r="G101" s="4">
        <v>0.97323199999999999</v>
      </c>
      <c r="L101" s="2">
        <v>-5.5624200000000004</v>
      </c>
      <c r="M101" s="4">
        <v>2.67448</v>
      </c>
      <c r="N101">
        <f t="shared" si="1"/>
        <v>2674.48</v>
      </c>
    </row>
    <row r="102" spans="2:14">
      <c r="B102" s="2">
        <v>-7.0651099999999998</v>
      </c>
      <c r="C102" s="4">
        <v>1.67395</v>
      </c>
      <c r="F102" s="2">
        <v>-20.677700000000002</v>
      </c>
      <c r="G102" s="4">
        <v>0.97668500000000003</v>
      </c>
      <c r="L102" s="2">
        <v>-7.4072800000000001</v>
      </c>
      <c r="M102" s="4">
        <v>2.69862</v>
      </c>
      <c r="N102">
        <f t="shared" si="1"/>
        <v>2698.62</v>
      </c>
    </row>
    <row r="103" spans="2:14">
      <c r="B103" s="2">
        <v>-7.0804600000000004</v>
      </c>
      <c r="C103" s="4">
        <v>1.70872</v>
      </c>
      <c r="F103" s="2">
        <v>-23.378399999999999</v>
      </c>
      <c r="G103" s="4">
        <v>0.98886600000000002</v>
      </c>
      <c r="L103" s="2">
        <v>-4.8685099999999997</v>
      </c>
      <c r="M103" s="4">
        <v>2.7034500000000001</v>
      </c>
      <c r="N103">
        <f t="shared" si="1"/>
        <v>2703.4500000000003</v>
      </c>
    </row>
    <row r="104" spans="2:14">
      <c r="B104" s="2">
        <v>-7.2832999999999997</v>
      </c>
      <c r="C104" s="4">
        <v>1.746</v>
      </c>
      <c r="F104" s="2">
        <v>-20.715800000000002</v>
      </c>
      <c r="G104" s="4">
        <v>0.99808699999999995</v>
      </c>
      <c r="H104" s="6">
        <v>-22.66</v>
      </c>
      <c r="I104" s="1">
        <v>0.95</v>
      </c>
      <c r="L104" s="2">
        <v>-3.7170000000000001</v>
      </c>
      <c r="M104" s="4">
        <v>2.7372399999999999</v>
      </c>
      <c r="N104">
        <f t="shared" si="1"/>
        <v>2737.24</v>
      </c>
    </row>
    <row r="105" spans="2:14">
      <c r="B105" s="2">
        <v>-7.1269400000000003</v>
      </c>
      <c r="C105" s="4">
        <v>1.75952</v>
      </c>
      <c r="F105" s="2">
        <v>-22.8765</v>
      </c>
      <c r="G105" s="4">
        <v>0.99980000000000002</v>
      </c>
      <c r="L105" s="2">
        <v>-5.2962499999999997</v>
      </c>
      <c r="M105" s="4">
        <v>2.7517200000000002</v>
      </c>
      <c r="N105">
        <f t="shared" si="1"/>
        <v>2751.7200000000003</v>
      </c>
    </row>
    <row r="106" spans="2:14">
      <c r="B106" s="2">
        <v>-7.3922999999999996</v>
      </c>
      <c r="C106" s="4">
        <v>1.79406</v>
      </c>
      <c r="F106" s="2">
        <v>-18.7087</v>
      </c>
      <c r="G106" s="4">
        <v>1.02308</v>
      </c>
      <c r="L106" s="2">
        <v>-6.2850799999999998</v>
      </c>
      <c r="M106" s="4">
        <v>2.7662100000000001</v>
      </c>
      <c r="N106">
        <f t="shared" si="1"/>
        <v>2766.21</v>
      </c>
    </row>
    <row r="107" spans="2:14">
      <c r="B107" s="2">
        <v>-8.5172000000000008</v>
      </c>
      <c r="C107" s="4">
        <v>1.80644</v>
      </c>
      <c r="F107" s="2">
        <v>-22.084900000000001</v>
      </c>
      <c r="G107" s="4">
        <v>1.0242500000000001</v>
      </c>
      <c r="L107" s="2">
        <v>-6.4028600000000004</v>
      </c>
      <c r="M107" s="4">
        <v>2.8144800000000001</v>
      </c>
      <c r="N107">
        <f t="shared" si="1"/>
        <v>2814.48</v>
      </c>
    </row>
    <row r="108" spans="2:14">
      <c r="B108" s="2">
        <v>-7.9388800000000002</v>
      </c>
      <c r="C108" s="4">
        <v>1.8310299999999999</v>
      </c>
      <c r="F108" s="2">
        <v>-20.7149</v>
      </c>
      <c r="G108" s="4">
        <v>1.0328900000000001</v>
      </c>
      <c r="L108" s="2">
        <v>-3.53918</v>
      </c>
      <c r="M108" s="4">
        <v>2.8482799999999999</v>
      </c>
      <c r="N108">
        <f t="shared" si="1"/>
        <v>2848.2799999999997</v>
      </c>
    </row>
    <row r="109" spans="2:14">
      <c r="B109" s="2">
        <v>-9.5321599999999993</v>
      </c>
      <c r="C109" s="4">
        <v>1.8911500000000001</v>
      </c>
      <c r="F109" s="2">
        <v>-22.971699999999998</v>
      </c>
      <c r="G109" s="4">
        <v>1.05063</v>
      </c>
      <c r="L109" s="2">
        <v>-6.5352399999999999</v>
      </c>
      <c r="M109" s="4">
        <v>2.8868999999999998</v>
      </c>
      <c r="N109">
        <f t="shared" si="1"/>
        <v>2886.8999999999996</v>
      </c>
    </row>
    <row r="110" spans="2:14">
      <c r="B110" s="2">
        <v>-7.6882299999999999</v>
      </c>
      <c r="C110" s="4">
        <v>1.9141999999999999</v>
      </c>
      <c r="F110" s="2">
        <v>-21.8719</v>
      </c>
      <c r="G110" s="4">
        <v>1.05647</v>
      </c>
      <c r="L110" s="2">
        <v>-4.0701200000000002</v>
      </c>
      <c r="M110" s="4">
        <v>2.9158599999999999</v>
      </c>
      <c r="N110">
        <f t="shared" si="1"/>
        <v>2915.8599999999997</v>
      </c>
    </row>
    <row r="111" spans="2:14">
      <c r="B111" s="2">
        <v>-7.2973100000000004</v>
      </c>
      <c r="C111" s="4">
        <v>1.95201</v>
      </c>
      <c r="F111" s="2">
        <v>-22.4697</v>
      </c>
      <c r="G111" s="4">
        <v>1.0669200000000001</v>
      </c>
      <c r="L111" s="2">
        <v>-5.8559099999999997</v>
      </c>
      <c r="M111" s="4">
        <v>2.9448300000000001</v>
      </c>
      <c r="N111">
        <f t="shared" si="1"/>
        <v>2944.83</v>
      </c>
    </row>
    <row r="112" spans="2:14">
      <c r="B112" s="2">
        <v>-7.0157299999999996</v>
      </c>
      <c r="C112" s="4">
        <v>1.9950699999999999</v>
      </c>
      <c r="F112" s="2">
        <v>-23.009699999999999</v>
      </c>
      <c r="G112" s="4">
        <v>1.07738</v>
      </c>
      <c r="L112" s="2">
        <v>-6.1804800000000002</v>
      </c>
      <c r="M112" s="4">
        <v>2.9689700000000001</v>
      </c>
      <c r="N112">
        <f t="shared" si="1"/>
        <v>2968.9700000000003</v>
      </c>
    </row>
    <row r="113" spans="2:14">
      <c r="B113" s="2">
        <v>-8.0621100000000006</v>
      </c>
      <c r="C113" s="4">
        <v>2.0583499999999999</v>
      </c>
      <c r="F113" s="2">
        <v>-20.8871</v>
      </c>
      <c r="G113" s="4">
        <v>1.09172</v>
      </c>
      <c r="L113" s="2">
        <v>-5.4422899999999998</v>
      </c>
      <c r="M113" s="4">
        <v>2.9979300000000002</v>
      </c>
      <c r="N113">
        <f t="shared" si="1"/>
        <v>2997.9300000000003</v>
      </c>
    </row>
    <row r="114" spans="2:14">
      <c r="B114" s="2">
        <v>-7.0306199999999999</v>
      </c>
      <c r="C114" s="4">
        <v>2.0886999999999998</v>
      </c>
      <c r="F114" s="2">
        <v>-20.057500000000001</v>
      </c>
      <c r="G114" s="4">
        <v>1.09477</v>
      </c>
      <c r="H114" s="6">
        <v>-21.57</v>
      </c>
      <c r="I114" s="1">
        <v>1.05</v>
      </c>
      <c r="L114" s="2">
        <v>-6.29826</v>
      </c>
      <c r="M114" s="4">
        <v>3.0172400000000001</v>
      </c>
      <c r="N114">
        <f t="shared" si="1"/>
        <v>3017.2400000000002</v>
      </c>
    </row>
    <row r="115" spans="2:14">
      <c r="B115" s="2">
        <v>-7.9832700000000001</v>
      </c>
      <c r="C115" s="4">
        <v>2.1493899999999999</v>
      </c>
      <c r="F115" s="2">
        <v>-23.124500000000001</v>
      </c>
      <c r="G115" s="4">
        <v>1.1148199999999999</v>
      </c>
      <c r="L115" s="2">
        <v>-5.6043500000000002</v>
      </c>
      <c r="M115" s="4">
        <v>3.0462099999999999</v>
      </c>
      <c r="N115">
        <f t="shared" si="1"/>
        <v>3046.21</v>
      </c>
    </row>
    <row r="116" spans="2:14">
      <c r="B116" s="2">
        <v>-7.2798100000000003</v>
      </c>
      <c r="C116" s="4">
        <v>2.1928200000000002</v>
      </c>
      <c r="F116" s="2">
        <v>-22.082699999999999</v>
      </c>
      <c r="G116" s="4">
        <v>1.11528</v>
      </c>
      <c r="L116" s="2">
        <v>-7.5674200000000003</v>
      </c>
      <c r="M116" s="4">
        <v>3.0510299999999999</v>
      </c>
      <c r="N116">
        <f t="shared" si="1"/>
        <v>3051.0299999999997</v>
      </c>
    </row>
    <row r="117" spans="2:14">
      <c r="B117" s="2">
        <v>-7.70139</v>
      </c>
      <c r="C117" s="4">
        <v>2.2299099999999998</v>
      </c>
      <c r="F117" s="2">
        <v>-22.313800000000001</v>
      </c>
      <c r="G117" s="4">
        <v>1.13392</v>
      </c>
      <c r="L117" s="2">
        <v>-5.3533299999999997</v>
      </c>
      <c r="M117" s="4">
        <v>3.0606900000000001</v>
      </c>
      <c r="N117">
        <f t="shared" si="1"/>
        <v>3060.69</v>
      </c>
    </row>
    <row r="118" spans="2:14">
      <c r="B118" s="2">
        <v>-7.5293900000000002</v>
      </c>
      <c r="C118" s="4">
        <v>2.2461099999999998</v>
      </c>
      <c r="F118" s="2">
        <v>-23.8185</v>
      </c>
      <c r="G118" s="4">
        <v>1.1386000000000001</v>
      </c>
      <c r="L118" s="2">
        <v>-7.12446</v>
      </c>
      <c r="M118" s="4">
        <v>3.07517</v>
      </c>
      <c r="N118">
        <f t="shared" si="1"/>
        <v>3075.17</v>
      </c>
    </row>
    <row r="119" spans="2:14">
      <c r="B119" s="2">
        <v>-8.0606000000000009</v>
      </c>
      <c r="C119" s="4">
        <v>2.2509899999999998</v>
      </c>
      <c r="F119" s="2">
        <v>-22.158999999999999</v>
      </c>
      <c r="G119" s="4">
        <v>1.15273</v>
      </c>
      <c r="L119" s="2">
        <v>-5.5449099999999998</v>
      </c>
      <c r="M119" s="4">
        <v>3.1089699999999998</v>
      </c>
      <c r="N119">
        <f t="shared" si="1"/>
        <v>3108.97</v>
      </c>
    </row>
    <row r="120" spans="2:14">
      <c r="B120" s="2">
        <v>-6.87303</v>
      </c>
      <c r="C120" s="4">
        <v>2.2600799999999999</v>
      </c>
      <c r="F120" s="2">
        <v>-19.5928</v>
      </c>
      <c r="G120" s="4">
        <v>1.16191</v>
      </c>
      <c r="L120" s="2">
        <v>-6.1647100000000004</v>
      </c>
      <c r="M120" s="4">
        <v>3.1282800000000002</v>
      </c>
      <c r="N120">
        <f t="shared" si="1"/>
        <v>3128.28</v>
      </c>
    </row>
    <row r="121" spans="2:14">
      <c r="B121" s="2">
        <v>-7.4821999999999997</v>
      </c>
      <c r="C121" s="4">
        <v>2.2862900000000002</v>
      </c>
      <c r="F121" s="2">
        <v>-24.820799999999998</v>
      </c>
      <c r="G121" s="4">
        <v>1.17564</v>
      </c>
      <c r="L121" s="2">
        <v>-6.6960499999999996</v>
      </c>
      <c r="M121" s="4">
        <v>3.1331000000000002</v>
      </c>
      <c r="N121">
        <f t="shared" si="1"/>
        <v>3133.1000000000004</v>
      </c>
    </row>
    <row r="122" spans="2:14">
      <c r="B122" s="2">
        <v>-5.9664400000000004</v>
      </c>
      <c r="C122" s="4">
        <v>2.30369</v>
      </c>
      <c r="F122" s="2">
        <v>-22.582699999999999</v>
      </c>
      <c r="G122" s="4">
        <v>1.1819900000000001</v>
      </c>
      <c r="L122" s="2">
        <v>-6.54826</v>
      </c>
      <c r="M122" s="4">
        <v>3.1620699999999999</v>
      </c>
      <c r="N122">
        <f t="shared" si="1"/>
        <v>3162.0699999999997</v>
      </c>
    </row>
    <row r="123" spans="2:14">
      <c r="B123" s="2">
        <v>-6.7319899999999997</v>
      </c>
      <c r="C123" s="4">
        <v>2.3137099999999999</v>
      </c>
      <c r="F123" s="2">
        <v>-23.392600000000002</v>
      </c>
      <c r="G123" s="4">
        <v>1.1977</v>
      </c>
      <c r="L123" s="2">
        <v>-6.9021999999999997</v>
      </c>
      <c r="M123" s="4">
        <v>3.21034</v>
      </c>
      <c r="N123">
        <f t="shared" si="1"/>
        <v>3210.34</v>
      </c>
    </row>
    <row r="124" spans="2:14">
      <c r="B124" s="2">
        <v>-5.5756500000000004</v>
      </c>
      <c r="C124" s="4">
        <v>2.32545</v>
      </c>
      <c r="F124" s="2">
        <v>-22.524100000000001</v>
      </c>
      <c r="G124" s="4">
        <v>1.21147</v>
      </c>
      <c r="L124" s="2">
        <v>-6.6659800000000002</v>
      </c>
      <c r="M124" s="4">
        <v>3.22</v>
      </c>
      <c r="N124">
        <f t="shared" si="1"/>
        <v>3220</v>
      </c>
    </row>
    <row r="125" spans="2:14">
      <c r="B125" s="2">
        <v>-8.1224299999999996</v>
      </c>
      <c r="C125" s="4">
        <v>2.3365499999999999</v>
      </c>
      <c r="F125" s="2">
        <v>-19.571999999999999</v>
      </c>
      <c r="G125" s="4">
        <v>1.22617</v>
      </c>
      <c r="L125" s="2">
        <v>-7.96469</v>
      </c>
      <c r="M125" s="4">
        <v>3.2489699999999999</v>
      </c>
      <c r="N125">
        <f t="shared" si="1"/>
        <v>3248.97</v>
      </c>
    </row>
    <row r="126" spans="2:14">
      <c r="B126" s="2">
        <v>-7.4660700000000002</v>
      </c>
      <c r="C126" s="4">
        <v>2.3505199999999999</v>
      </c>
      <c r="F126" s="2">
        <v>-21.617000000000001</v>
      </c>
      <c r="G126" s="4">
        <v>1.22794</v>
      </c>
      <c r="L126" s="2">
        <v>-5.8685299999999998</v>
      </c>
      <c r="M126" s="4">
        <v>3.2827600000000001</v>
      </c>
      <c r="N126">
        <f t="shared" si="1"/>
        <v>3282.76</v>
      </c>
    </row>
    <row r="127" spans="2:14">
      <c r="B127" s="2">
        <v>-8.04406</v>
      </c>
      <c r="C127" s="4">
        <v>2.3687299999999998</v>
      </c>
      <c r="F127" s="2">
        <v>-22.561900000000001</v>
      </c>
      <c r="G127" s="4">
        <v>1.2435799999999999</v>
      </c>
      <c r="L127" s="2">
        <v>-6.3406700000000003</v>
      </c>
      <c r="M127" s="4">
        <v>3.3117200000000002</v>
      </c>
      <c r="N127">
        <f t="shared" si="1"/>
        <v>3311.7200000000003</v>
      </c>
    </row>
    <row r="128" spans="2:14">
      <c r="B128" s="2">
        <v>-7.2626600000000003</v>
      </c>
      <c r="C128" s="4">
        <v>2.3881600000000001</v>
      </c>
      <c r="F128" s="2">
        <v>-20.439699999999998</v>
      </c>
      <c r="G128" s="4">
        <v>1.2445299999999999</v>
      </c>
      <c r="L128" s="2">
        <v>-6.9307400000000001</v>
      </c>
      <c r="M128" s="4">
        <v>3.36483</v>
      </c>
      <c r="N128">
        <f t="shared" si="1"/>
        <v>3364.83</v>
      </c>
    </row>
    <row r="129" spans="2:14">
      <c r="B129" s="2">
        <v>-7.4187000000000003</v>
      </c>
      <c r="C129" s="4">
        <v>2.4147699999999999</v>
      </c>
      <c r="F129" s="2">
        <v>-21.789899999999999</v>
      </c>
      <c r="G129" s="4">
        <v>1.2573099999999999</v>
      </c>
      <c r="L129" s="2">
        <v>-6.4731800000000002</v>
      </c>
      <c r="M129" s="4">
        <v>3.36483</v>
      </c>
      <c r="N129">
        <f t="shared" si="1"/>
        <v>3364.83</v>
      </c>
    </row>
    <row r="130" spans="2:14">
      <c r="B130" s="2">
        <v>-7.0746700000000002</v>
      </c>
      <c r="C130" s="4">
        <v>2.4498600000000001</v>
      </c>
      <c r="F130" s="2">
        <v>-21.037299999999998</v>
      </c>
      <c r="G130" s="4">
        <v>1.2629999999999999</v>
      </c>
      <c r="L130" s="2">
        <v>-5.7940899999999997</v>
      </c>
      <c r="M130" s="4">
        <v>3.3841399999999999</v>
      </c>
      <c r="N130">
        <f t="shared" si="1"/>
        <v>3384.14</v>
      </c>
    </row>
    <row r="131" spans="2:14">
      <c r="B131" s="2">
        <v>-7.2620100000000001</v>
      </c>
      <c r="C131" s="4">
        <v>2.4710999999999999</v>
      </c>
      <c r="F131" s="2">
        <v>-21.963100000000001</v>
      </c>
      <c r="G131" s="4">
        <v>1.2733000000000001</v>
      </c>
      <c r="L131" s="2">
        <v>-6.7091599999999998</v>
      </c>
      <c r="M131" s="4">
        <v>3.3937900000000001</v>
      </c>
      <c r="N131">
        <f t="shared" si="1"/>
        <v>3393.79</v>
      </c>
    </row>
    <row r="132" spans="2:14">
      <c r="B132" s="2">
        <v>-6.8554599999999999</v>
      </c>
      <c r="C132" s="4">
        <v>2.5089199999999998</v>
      </c>
      <c r="F132" s="2">
        <v>-22.696200000000001</v>
      </c>
      <c r="G132" s="4">
        <v>1.27565</v>
      </c>
      <c r="L132" s="2">
        <v>-6.0448300000000001</v>
      </c>
      <c r="M132" s="4">
        <v>3.4131</v>
      </c>
      <c r="N132">
        <f t="shared" si="1"/>
        <v>3413.1</v>
      </c>
    </row>
    <row r="133" spans="2:14">
      <c r="B133" s="2">
        <v>-6.9021699999999999</v>
      </c>
      <c r="C133" s="4">
        <v>2.5302899999999999</v>
      </c>
      <c r="F133" s="2">
        <v>-22.2135</v>
      </c>
      <c r="G133" s="4">
        <v>1.29193</v>
      </c>
      <c r="L133" s="2">
        <v>-6.3398500000000002</v>
      </c>
      <c r="M133" s="4">
        <v>3.4420700000000002</v>
      </c>
      <c r="N133">
        <f t="shared" si="1"/>
        <v>3442.07</v>
      </c>
    </row>
    <row r="134" spans="2:14">
      <c r="B134" s="2">
        <v>-6.7457099999999999</v>
      </c>
      <c r="C134" s="4">
        <v>2.5571799999999998</v>
      </c>
      <c r="F134" s="2">
        <v>-19.9175</v>
      </c>
      <c r="G134" s="4">
        <v>1.3009900000000001</v>
      </c>
      <c r="L134" s="2">
        <v>-5.8081500000000004</v>
      </c>
      <c r="M134" s="4">
        <v>3.4951699999999999</v>
      </c>
      <c r="N134">
        <f t="shared" si="1"/>
        <v>3495.17</v>
      </c>
    </row>
    <row r="135" spans="2:14">
      <c r="B135" s="2">
        <v>-7.6673999999999998</v>
      </c>
      <c r="C135" s="4">
        <v>2.5804399999999998</v>
      </c>
      <c r="F135" s="2">
        <v>-22.5411</v>
      </c>
      <c r="G135" s="4">
        <v>1.3051699999999999</v>
      </c>
      <c r="L135" s="2">
        <v>-6.7380399999999998</v>
      </c>
      <c r="M135" s="4">
        <v>3.4951699999999999</v>
      </c>
      <c r="N135">
        <f t="shared" ref="N135:N198" si="2">1000*M135</f>
        <v>3495.17</v>
      </c>
    </row>
    <row r="136" spans="2:14">
      <c r="B136" s="2">
        <v>-6.5110200000000003</v>
      </c>
      <c r="C136" s="4">
        <v>2.5975199999999998</v>
      </c>
      <c r="F136" s="2">
        <v>-21.460699999999999</v>
      </c>
      <c r="G136" s="4">
        <v>1.30565</v>
      </c>
      <c r="L136" s="2">
        <v>-6.1031399999999998</v>
      </c>
      <c r="M136" s="4">
        <v>3.5289700000000002</v>
      </c>
      <c r="N136">
        <f t="shared" si="2"/>
        <v>3528.9700000000003</v>
      </c>
    </row>
    <row r="137" spans="2:14">
      <c r="B137" s="2">
        <v>-6.6670199999999999</v>
      </c>
      <c r="C137" s="4">
        <v>2.6294900000000001</v>
      </c>
      <c r="F137" s="2">
        <v>-21.8079</v>
      </c>
      <c r="G137" s="4">
        <v>1.3108500000000001</v>
      </c>
      <c r="L137" s="2">
        <v>-6.6490499999999999</v>
      </c>
      <c r="M137" s="4">
        <v>3.5627599999999999</v>
      </c>
      <c r="N137">
        <f t="shared" si="2"/>
        <v>3562.7599999999998</v>
      </c>
    </row>
    <row r="138" spans="2:14">
      <c r="B138" s="2">
        <v>-6.40123</v>
      </c>
      <c r="C138" s="4">
        <v>2.6511300000000002</v>
      </c>
      <c r="F138" s="2">
        <v>-23.3703</v>
      </c>
      <c r="G138" s="4">
        <v>1.3208599999999999</v>
      </c>
      <c r="L138" s="2">
        <v>-6.0289700000000002</v>
      </c>
      <c r="M138" s="4">
        <v>3.5869</v>
      </c>
      <c r="N138">
        <f t="shared" si="2"/>
        <v>3586.9</v>
      </c>
    </row>
    <row r="139" spans="2:14">
      <c r="B139" s="2">
        <v>-6.4009999999999998</v>
      </c>
      <c r="C139" s="4">
        <v>2.6805599999999998</v>
      </c>
      <c r="F139" s="2">
        <v>-22.4056</v>
      </c>
      <c r="G139" s="4">
        <v>1.3266500000000001</v>
      </c>
      <c r="L139" s="2">
        <v>-6.6930899999999998</v>
      </c>
      <c r="M139" s="4">
        <v>3.6013799999999998</v>
      </c>
      <c r="N139">
        <f t="shared" si="2"/>
        <v>3601.3799999999997</v>
      </c>
    </row>
    <row r="140" spans="2:14">
      <c r="B140" s="2">
        <v>-7.0102900000000004</v>
      </c>
      <c r="C140" s="4">
        <v>2.6907199999999998</v>
      </c>
      <c r="F140" s="2">
        <v>-24.392499999999998</v>
      </c>
      <c r="G140" s="4">
        <v>1.3338000000000001</v>
      </c>
      <c r="L140" s="2">
        <v>-6.6191000000000004</v>
      </c>
      <c r="M140" s="4">
        <v>3.6303399999999999</v>
      </c>
      <c r="N140">
        <f t="shared" si="2"/>
        <v>3630.3399999999997</v>
      </c>
    </row>
    <row r="141" spans="2:14">
      <c r="B141" s="2">
        <v>-6.2914300000000001</v>
      </c>
      <c r="C141" s="4">
        <v>2.7047400000000001</v>
      </c>
      <c r="F141" s="2">
        <v>-22.791</v>
      </c>
      <c r="G141" s="4">
        <v>1.3425400000000001</v>
      </c>
      <c r="L141" s="2">
        <v>-6.8106799999999996</v>
      </c>
      <c r="M141" s="4">
        <v>3.67862</v>
      </c>
      <c r="N141">
        <f t="shared" si="2"/>
        <v>3678.62</v>
      </c>
    </row>
    <row r="142" spans="2:14">
      <c r="B142" s="2">
        <v>-4.3068499999999998</v>
      </c>
      <c r="C142" s="4">
        <v>2.7305899999999999</v>
      </c>
      <c r="F142" s="2">
        <v>-23.658999999999999</v>
      </c>
      <c r="G142" s="4">
        <v>1.35019</v>
      </c>
      <c r="L142" s="2">
        <v>-6.0282099999999996</v>
      </c>
      <c r="M142" s="4">
        <v>3.7075900000000002</v>
      </c>
      <c r="N142">
        <f t="shared" si="2"/>
        <v>3707.59</v>
      </c>
    </row>
    <row r="143" spans="2:14">
      <c r="B143" s="2">
        <v>-5.6817200000000003</v>
      </c>
      <c r="C143" s="4">
        <v>2.7481</v>
      </c>
      <c r="F143" s="2">
        <v>-22.732700000000001</v>
      </c>
      <c r="G143" s="4">
        <v>1.36399</v>
      </c>
      <c r="L143" s="2">
        <v>-6.8103400000000001</v>
      </c>
      <c r="M143" s="4">
        <v>3.7317200000000001</v>
      </c>
      <c r="N143">
        <f t="shared" si="2"/>
        <v>3731.7200000000003</v>
      </c>
    </row>
    <row r="144" spans="2:14">
      <c r="B144" s="2">
        <v>-6.71272</v>
      </c>
      <c r="C144" s="4">
        <v>2.77928</v>
      </c>
      <c r="F144" s="2">
        <v>-23.754799999999999</v>
      </c>
      <c r="G144" s="4">
        <v>1.3769199999999999</v>
      </c>
      <c r="L144" s="2">
        <v>-6.7510899999999996</v>
      </c>
      <c r="M144" s="4">
        <v>3.76552</v>
      </c>
      <c r="N144">
        <f t="shared" si="2"/>
        <v>3765.52</v>
      </c>
    </row>
    <row r="145" spans="2:14">
      <c r="B145" s="2">
        <v>-4.6031300000000002</v>
      </c>
      <c r="C145" s="4">
        <v>2.8079200000000002</v>
      </c>
      <c r="F145" s="2">
        <v>-22.944400000000002</v>
      </c>
      <c r="G145" s="4">
        <v>1.38531</v>
      </c>
      <c r="L145" s="2">
        <v>-6.8985399999999997</v>
      </c>
      <c r="M145" s="4">
        <v>3.78966</v>
      </c>
      <c r="N145">
        <f t="shared" si="2"/>
        <v>3789.66</v>
      </c>
    </row>
    <row r="146" spans="2:14">
      <c r="B146" s="2">
        <v>-4.7123799999999996</v>
      </c>
      <c r="C146" s="4">
        <v>2.8238799999999999</v>
      </c>
      <c r="F146" s="2">
        <v>-24.1206</v>
      </c>
      <c r="G146" s="4">
        <v>1.4088799999999999</v>
      </c>
      <c r="L146" s="2">
        <v>-6.6622199999999996</v>
      </c>
      <c r="M146" s="4">
        <v>3.81379</v>
      </c>
      <c r="N146">
        <f t="shared" si="2"/>
        <v>3813.79</v>
      </c>
    </row>
    <row r="147" spans="2:14">
      <c r="B147" s="2">
        <v>-6.1497999999999999</v>
      </c>
      <c r="C147" s="4">
        <v>2.8332999999999999</v>
      </c>
      <c r="F147" s="2">
        <v>-22.77</v>
      </c>
      <c r="G147" s="4">
        <v>1.4148400000000001</v>
      </c>
      <c r="L147" s="2">
        <v>-7.0900800000000004</v>
      </c>
      <c r="M147" s="4">
        <v>3.8427600000000002</v>
      </c>
      <c r="N147">
        <f t="shared" si="2"/>
        <v>3842.76</v>
      </c>
    </row>
    <row r="148" spans="2:14">
      <c r="B148" s="2">
        <v>-5.8059200000000004</v>
      </c>
      <c r="C148" s="4">
        <v>2.8496600000000001</v>
      </c>
      <c r="F148" s="2">
        <v>-22.866099999999999</v>
      </c>
      <c r="G148" s="4">
        <v>1.43086</v>
      </c>
      <c r="L148" s="2">
        <v>-6.8685299999999998</v>
      </c>
      <c r="M148" s="4">
        <v>3.8668999999999998</v>
      </c>
      <c r="N148">
        <f t="shared" si="2"/>
        <v>3866.8999999999996</v>
      </c>
    </row>
    <row r="149" spans="2:14">
      <c r="B149" s="2">
        <v>-6.9308300000000003</v>
      </c>
      <c r="C149" s="4">
        <v>2.8620299999999999</v>
      </c>
      <c r="F149" s="2">
        <v>-23.734100000000002</v>
      </c>
      <c r="G149" s="4">
        <v>1.43851</v>
      </c>
      <c r="L149" s="2">
        <v>-7.1635200000000001</v>
      </c>
      <c r="M149" s="4">
        <v>3.90069</v>
      </c>
      <c r="N149">
        <f t="shared" si="2"/>
        <v>3900.69</v>
      </c>
    </row>
    <row r="150" spans="2:14">
      <c r="B150" s="2">
        <v>-7.0869999999999997</v>
      </c>
      <c r="C150" s="4">
        <v>2.8725999999999998</v>
      </c>
      <c r="F150" s="2">
        <v>-22.633900000000001</v>
      </c>
      <c r="G150" s="4">
        <v>1.4604200000000001</v>
      </c>
      <c r="L150" s="2">
        <v>-6.7500799999999996</v>
      </c>
      <c r="M150" s="4">
        <v>3.92483</v>
      </c>
      <c r="N150">
        <f t="shared" si="2"/>
        <v>3924.83</v>
      </c>
    </row>
    <row r="151" spans="2:14">
      <c r="B151" s="2">
        <v>-5.1179399999999999</v>
      </c>
      <c r="C151" s="4">
        <v>2.91181</v>
      </c>
      <c r="F151" s="2">
        <v>-23.8874</v>
      </c>
      <c r="G151" s="4">
        <v>1.4785999999999999</v>
      </c>
      <c r="L151" s="2">
        <v>-6.9565700000000001</v>
      </c>
      <c r="M151" s="4">
        <v>3.9489700000000001</v>
      </c>
      <c r="N151">
        <f t="shared" si="2"/>
        <v>3948.9700000000003</v>
      </c>
    </row>
    <row r="152" spans="2:14">
      <c r="B152" s="2">
        <v>-6.9770099999999999</v>
      </c>
      <c r="C152" s="4">
        <v>2.9502899999999999</v>
      </c>
      <c r="F152" s="2">
        <v>-23.019100000000002</v>
      </c>
      <c r="G152" s="4">
        <v>1.48434</v>
      </c>
      <c r="L152" s="2">
        <v>-6.4693899999999998</v>
      </c>
      <c r="M152" s="4">
        <v>3.9634499999999999</v>
      </c>
      <c r="N152">
        <f t="shared" si="2"/>
        <v>3963.45</v>
      </c>
    </row>
    <row r="153" spans="2:14">
      <c r="B153" s="2">
        <v>-6.8986999999999998</v>
      </c>
      <c r="C153" s="4">
        <v>2.97444</v>
      </c>
      <c r="F153" s="2">
        <v>-22.864100000000001</v>
      </c>
      <c r="G153" s="4">
        <v>1.51386</v>
      </c>
      <c r="L153" s="2">
        <v>-7.6203500000000002</v>
      </c>
      <c r="M153" s="4">
        <v>4.0165499999999996</v>
      </c>
      <c r="N153">
        <f t="shared" si="2"/>
        <v>4016.5499999999997</v>
      </c>
    </row>
    <row r="154" spans="2:14">
      <c r="B154" s="2">
        <v>-7.4298700000000002</v>
      </c>
      <c r="C154" s="4">
        <v>2.9846599999999999</v>
      </c>
      <c r="F154" s="2">
        <v>-23.1724</v>
      </c>
      <c r="G154" s="4">
        <v>1.52979</v>
      </c>
      <c r="L154" s="2">
        <v>-7.2951699999999997</v>
      </c>
      <c r="M154" s="4">
        <v>4.0889699999999998</v>
      </c>
      <c r="N154">
        <f t="shared" si="2"/>
        <v>4088.97</v>
      </c>
    </row>
    <row r="155" spans="2:14">
      <c r="B155" s="2">
        <v>-7.36714</v>
      </c>
      <c r="C155" s="4">
        <v>3.0141499999999999</v>
      </c>
      <c r="F155" s="2">
        <v>-24.464700000000001</v>
      </c>
      <c r="G155" s="4">
        <v>1.53992</v>
      </c>
      <c r="L155" s="2">
        <v>-7.1327400000000001</v>
      </c>
      <c r="M155" s="4">
        <v>4.0986200000000004</v>
      </c>
      <c r="N155">
        <f t="shared" si="2"/>
        <v>4098.6200000000008</v>
      </c>
    </row>
    <row r="156" spans="2:14">
      <c r="B156" s="2">
        <v>-6.9296199999999999</v>
      </c>
      <c r="C156" s="4">
        <v>3.01722</v>
      </c>
      <c r="F156" s="2">
        <v>-22.805299999999999</v>
      </c>
      <c r="G156" s="4">
        <v>1.5513699999999999</v>
      </c>
      <c r="L156" s="2">
        <v>-7.5901300000000003</v>
      </c>
      <c r="M156" s="4">
        <v>4.1275899999999996</v>
      </c>
      <c r="N156">
        <f t="shared" si="2"/>
        <v>4127.5899999999992</v>
      </c>
    </row>
    <row r="157" spans="2:14">
      <c r="B157" s="2">
        <v>-6.9295299999999997</v>
      </c>
      <c r="C157" s="4">
        <v>3.0279199999999999</v>
      </c>
      <c r="F157" s="2">
        <v>-23.866</v>
      </c>
      <c r="G157" s="4">
        <v>1.5669599999999999</v>
      </c>
      <c r="L157" s="2">
        <v>-7.2058999999999997</v>
      </c>
      <c r="M157" s="4">
        <v>4.2</v>
      </c>
      <c r="N157">
        <f t="shared" si="2"/>
        <v>4200</v>
      </c>
    </row>
    <row r="158" spans="2:14">
      <c r="B158" s="2">
        <v>-6.8512599999999999</v>
      </c>
      <c r="C158" s="4">
        <v>3.0467200000000001</v>
      </c>
      <c r="F158" s="2">
        <v>-22.534600000000001</v>
      </c>
      <c r="G158" s="4">
        <v>1.5782700000000001</v>
      </c>
      <c r="L158" s="2">
        <v>-7.5450799999999996</v>
      </c>
      <c r="M158" s="4">
        <v>4.2482800000000003</v>
      </c>
      <c r="N158">
        <f t="shared" si="2"/>
        <v>4248.2800000000007</v>
      </c>
    </row>
    <row r="159" spans="2:14">
      <c r="B159" s="2">
        <v>-8.0698699999999999</v>
      </c>
      <c r="C159" s="4">
        <v>3.0643600000000002</v>
      </c>
      <c r="F159" s="2">
        <v>-23.4605</v>
      </c>
      <c r="G159" s="4">
        <v>1.58321</v>
      </c>
      <c r="L159" s="2">
        <v>-7.3087400000000002</v>
      </c>
      <c r="M159" s="4">
        <v>4.2772399999999999</v>
      </c>
      <c r="N159">
        <f t="shared" si="2"/>
        <v>4277.24</v>
      </c>
    </row>
    <row r="160" spans="2:14">
      <c r="B160" s="2">
        <v>-7.3036099999999999</v>
      </c>
      <c r="C160" s="4">
        <v>3.1453099999999998</v>
      </c>
      <c r="F160" s="2">
        <v>-23.1127</v>
      </c>
      <c r="G160" s="4">
        <v>1.6047800000000001</v>
      </c>
      <c r="L160" s="2">
        <v>-7.4265100000000004</v>
      </c>
      <c r="M160" s="4">
        <v>4.32552</v>
      </c>
      <c r="N160">
        <f t="shared" si="2"/>
        <v>4325.5200000000004</v>
      </c>
    </row>
    <row r="161" spans="2:14">
      <c r="B161" s="2">
        <v>-7.4129100000000001</v>
      </c>
      <c r="C161" s="4">
        <v>3.1559200000000001</v>
      </c>
      <c r="F161" s="2">
        <v>-24.250900000000001</v>
      </c>
      <c r="G161" s="4">
        <v>1.6069500000000001</v>
      </c>
      <c r="L161" s="2">
        <v>-7.9134099999999998</v>
      </c>
      <c r="M161" s="4">
        <v>4.3544799999999997</v>
      </c>
      <c r="N161">
        <f t="shared" si="2"/>
        <v>4354.4799999999996</v>
      </c>
    </row>
    <row r="162" spans="2:14">
      <c r="B162" s="2">
        <v>-7.89703</v>
      </c>
      <c r="C162" s="4">
        <v>3.1875900000000001</v>
      </c>
      <c r="F162" s="2">
        <v>-22.5335</v>
      </c>
      <c r="G162" s="4">
        <v>1.62378</v>
      </c>
      <c r="L162" s="2">
        <v>-8.0897699999999997</v>
      </c>
      <c r="M162" s="4">
        <v>4.4751700000000003</v>
      </c>
      <c r="N162">
        <f t="shared" si="2"/>
        <v>4475.17</v>
      </c>
    </row>
    <row r="163" spans="2:14">
      <c r="B163" s="2">
        <v>-7.8810700000000002</v>
      </c>
      <c r="C163" s="4">
        <v>3.2304200000000001</v>
      </c>
      <c r="F163" s="2">
        <v>-24.018899999999999</v>
      </c>
      <c r="G163" s="4">
        <v>1.6284700000000001</v>
      </c>
      <c r="L163" s="2">
        <v>-8.0157299999999996</v>
      </c>
      <c r="M163" s="4">
        <v>4.5137900000000002</v>
      </c>
      <c r="N163">
        <f t="shared" si="2"/>
        <v>4513.79</v>
      </c>
    </row>
    <row r="164" spans="2:14">
      <c r="B164" s="2">
        <v>-8.4744899999999994</v>
      </c>
      <c r="C164" s="4">
        <v>3.2726999999999999</v>
      </c>
      <c r="F164" s="2">
        <v>-22.996200000000002</v>
      </c>
      <c r="G164" s="4">
        <v>1.63696</v>
      </c>
      <c r="L164" s="2">
        <v>-8.5173299999999994</v>
      </c>
      <c r="M164" s="4">
        <v>4.5524100000000001</v>
      </c>
      <c r="N164">
        <f t="shared" si="2"/>
        <v>4552.41</v>
      </c>
    </row>
    <row r="165" spans="2:14">
      <c r="B165" s="2">
        <v>-8.1930499999999995</v>
      </c>
      <c r="C165" s="4">
        <v>3.2970299999999999</v>
      </c>
      <c r="F165" s="2">
        <v>-23.940799999999999</v>
      </c>
      <c r="G165" s="4">
        <v>1.6659900000000001</v>
      </c>
      <c r="L165" s="2">
        <v>-8.0152099999999997</v>
      </c>
      <c r="M165" s="4">
        <v>4.5958600000000001</v>
      </c>
      <c r="N165">
        <f t="shared" si="2"/>
        <v>4595.8599999999997</v>
      </c>
    </row>
    <row r="166" spans="2:14">
      <c r="B166" s="2">
        <v>-8.3175699999999999</v>
      </c>
      <c r="C166" s="4">
        <v>3.3584499999999999</v>
      </c>
      <c r="F166" s="2">
        <v>-23.169</v>
      </c>
      <c r="G166" s="4">
        <v>1.6690100000000001</v>
      </c>
      <c r="L166" s="2">
        <v>-7.98529</v>
      </c>
      <c r="M166" s="4">
        <v>4.65862</v>
      </c>
      <c r="N166">
        <f t="shared" si="2"/>
        <v>4658.62</v>
      </c>
    </row>
    <row r="167" spans="2:14">
      <c r="B167" s="2">
        <v>-8.1764100000000006</v>
      </c>
      <c r="C167" s="4">
        <v>3.42815</v>
      </c>
      <c r="F167" s="2">
        <v>-24.403099999999998</v>
      </c>
      <c r="G167" s="4">
        <v>1.69791</v>
      </c>
      <c r="L167" s="2">
        <v>-8.30959</v>
      </c>
      <c r="M167" s="4">
        <v>4.72621</v>
      </c>
      <c r="N167">
        <f t="shared" si="2"/>
        <v>4726.21</v>
      </c>
    </row>
    <row r="168" spans="2:14">
      <c r="B168" s="2">
        <v>-8.73855</v>
      </c>
      <c r="C168" s="4">
        <v>3.4731299999999998</v>
      </c>
      <c r="F168" s="2">
        <v>-22.839700000000001</v>
      </c>
      <c r="G168" s="4">
        <v>1.72539</v>
      </c>
      <c r="L168" s="2">
        <v>-8.2502999999999993</v>
      </c>
      <c r="M168" s="4">
        <v>4.7648299999999999</v>
      </c>
      <c r="N168">
        <f t="shared" si="2"/>
        <v>4764.83</v>
      </c>
    </row>
    <row r="169" spans="2:14">
      <c r="B169" s="2">
        <v>-8.1288</v>
      </c>
      <c r="C169" s="4">
        <v>3.52183</v>
      </c>
      <c r="F169" s="2">
        <v>-23.572500000000002</v>
      </c>
      <c r="G169" s="4">
        <v>1.7384500000000001</v>
      </c>
      <c r="L169" s="2">
        <v>-7.9401200000000003</v>
      </c>
      <c r="M169" s="4">
        <v>4.7986199999999997</v>
      </c>
      <c r="N169">
        <f t="shared" si="2"/>
        <v>4798.62</v>
      </c>
    </row>
    <row r="170" spans="2:14">
      <c r="B170" s="2">
        <v>-8.2693399999999997</v>
      </c>
      <c r="C170" s="4">
        <v>3.53241</v>
      </c>
      <c r="F170" s="2">
        <v>-24.015899999999998</v>
      </c>
      <c r="G170" s="4">
        <v>1.75163</v>
      </c>
      <c r="L170" s="2">
        <v>-8.1614400000000007</v>
      </c>
      <c r="M170" s="4">
        <v>4.8131000000000004</v>
      </c>
      <c r="N170">
        <f t="shared" si="2"/>
        <v>4813.1000000000004</v>
      </c>
    </row>
    <row r="171" spans="2:14">
      <c r="B171" s="2">
        <v>-8.4099000000000004</v>
      </c>
      <c r="C171" s="4">
        <v>3.5403099999999998</v>
      </c>
      <c r="F171" s="2">
        <v>-22.781199999999998</v>
      </c>
      <c r="G171" s="4">
        <v>1.7521899999999999</v>
      </c>
      <c r="L171" s="2">
        <v>-7.7624500000000003</v>
      </c>
      <c r="M171" s="4">
        <v>4.8855199999999996</v>
      </c>
      <c r="N171">
        <f t="shared" si="2"/>
        <v>4885.5199999999995</v>
      </c>
    </row>
    <row r="172" spans="2:14">
      <c r="B172" s="2">
        <v>-8.3940900000000003</v>
      </c>
      <c r="C172" s="4">
        <v>3.5644100000000001</v>
      </c>
      <c r="F172" s="2">
        <v>-23.205200000000001</v>
      </c>
      <c r="G172" s="4">
        <v>1.76806</v>
      </c>
      <c r="L172" s="2">
        <v>-8.6771899999999995</v>
      </c>
      <c r="M172" s="4">
        <v>4.9482799999999996</v>
      </c>
      <c r="N172">
        <f t="shared" si="2"/>
        <v>4948.28</v>
      </c>
    </row>
    <row r="173" spans="2:14">
      <c r="B173" s="2">
        <v>-8.31569</v>
      </c>
      <c r="C173" s="4">
        <v>3.5992600000000001</v>
      </c>
      <c r="F173" s="2">
        <v>-23.532900000000001</v>
      </c>
      <c r="G173" s="4">
        <v>1.7813000000000001</v>
      </c>
      <c r="L173" s="2">
        <v>-8.1899200000000008</v>
      </c>
      <c r="M173" s="4">
        <v>4.9772400000000001</v>
      </c>
      <c r="N173">
        <f t="shared" si="2"/>
        <v>4977.24</v>
      </c>
    </row>
    <row r="174" spans="2:14">
      <c r="B174" s="2">
        <v>-8.5187399999999993</v>
      </c>
      <c r="C174" s="4">
        <v>3.6097800000000002</v>
      </c>
      <c r="F174" s="2">
        <v>-24.072900000000001</v>
      </c>
      <c r="G174" s="4">
        <v>1.7890900000000001</v>
      </c>
      <c r="L174" s="2">
        <v>-7.8944700000000001</v>
      </c>
      <c r="M174" s="4">
        <v>5.01586</v>
      </c>
      <c r="N174">
        <f t="shared" si="2"/>
        <v>5015.8599999999997</v>
      </c>
    </row>
    <row r="175" spans="2:14">
      <c r="B175" s="2">
        <v>-8.7215299999999996</v>
      </c>
      <c r="C175" s="4">
        <v>3.6524100000000002</v>
      </c>
      <c r="F175" s="2">
        <v>-23.8217</v>
      </c>
      <c r="G175" s="4">
        <v>1.8052699999999999</v>
      </c>
      <c r="L175" s="2">
        <v>-8.3075700000000001</v>
      </c>
      <c r="M175" s="4">
        <v>5.0448300000000001</v>
      </c>
      <c r="N175">
        <f t="shared" si="2"/>
        <v>5044.83</v>
      </c>
    </row>
    <row r="176" spans="2:14">
      <c r="B176" s="2">
        <v>-8.8308400000000002</v>
      </c>
      <c r="C176" s="4">
        <v>3.6603400000000001</v>
      </c>
      <c r="F176" s="2">
        <v>-24.265000000000001</v>
      </c>
      <c r="G176" s="4">
        <v>1.8238099999999999</v>
      </c>
      <c r="L176" s="2">
        <v>-7.8202699999999998</v>
      </c>
      <c r="M176" s="4">
        <v>5.0786199999999999</v>
      </c>
      <c r="N176">
        <f t="shared" si="2"/>
        <v>5078.62</v>
      </c>
    </row>
    <row r="177" spans="2:14">
      <c r="B177" s="2">
        <v>-9.0182400000000005</v>
      </c>
      <c r="C177" s="4">
        <v>3.6735500000000001</v>
      </c>
      <c r="F177" s="2">
        <v>-23.666599999999999</v>
      </c>
      <c r="G177" s="4">
        <v>1.8374699999999999</v>
      </c>
      <c r="L177" s="2">
        <v>-8.1740600000000008</v>
      </c>
      <c r="M177" s="4">
        <v>5.1510300000000004</v>
      </c>
      <c r="N177">
        <f t="shared" si="2"/>
        <v>5151.0300000000007</v>
      </c>
    </row>
    <row r="178" spans="2:14">
      <c r="B178" s="2">
        <v>-9.2524099999999994</v>
      </c>
      <c r="C178" s="4">
        <v>3.7000999999999999</v>
      </c>
      <c r="F178" s="2">
        <v>-24.206299999999999</v>
      </c>
      <c r="G178" s="4">
        <v>1.8586400000000001</v>
      </c>
      <c r="L178" s="2">
        <v>-8.3510899999999992</v>
      </c>
      <c r="M178" s="4">
        <v>5.1655199999999999</v>
      </c>
      <c r="N178">
        <f t="shared" si="2"/>
        <v>5165.5199999999995</v>
      </c>
    </row>
    <row r="179" spans="2:14">
      <c r="B179" s="2">
        <v>-9.1428999999999991</v>
      </c>
      <c r="C179" s="4">
        <v>3.7162500000000001</v>
      </c>
      <c r="F179" s="2">
        <v>-23.5307</v>
      </c>
      <c r="G179" s="4">
        <v>1.87233</v>
      </c>
      <c r="L179" s="2">
        <v>-8.0998599999999996</v>
      </c>
      <c r="M179" s="4">
        <v>5.2137900000000004</v>
      </c>
      <c r="N179">
        <f t="shared" si="2"/>
        <v>5213.79</v>
      </c>
    </row>
    <row r="180" spans="2:14">
      <c r="B180" s="2">
        <v>-9.0178200000000004</v>
      </c>
      <c r="C180" s="4">
        <v>3.7270599999999998</v>
      </c>
      <c r="F180" s="2">
        <v>-24.861599999999999</v>
      </c>
      <c r="G180" s="4">
        <v>1.88513</v>
      </c>
      <c r="L180" s="2">
        <v>-8.4388199999999998</v>
      </c>
      <c r="M180" s="4">
        <v>5.2958600000000002</v>
      </c>
      <c r="N180">
        <f t="shared" si="2"/>
        <v>5295.8600000000006</v>
      </c>
    </row>
    <row r="181" spans="2:14">
      <c r="B181" s="2">
        <v>-8.8768399999999996</v>
      </c>
      <c r="C181" s="4">
        <v>3.7726700000000002</v>
      </c>
      <c r="F181" s="2">
        <v>-23.645600000000002</v>
      </c>
      <c r="G181" s="4">
        <v>1.90709</v>
      </c>
      <c r="L181" s="2">
        <v>-8.4534000000000002</v>
      </c>
      <c r="M181" s="4">
        <v>5.3248300000000004</v>
      </c>
      <c r="N181">
        <f t="shared" si="2"/>
        <v>5324.8300000000008</v>
      </c>
    </row>
    <row r="182" spans="2:14">
      <c r="B182" s="2">
        <v>-8.9547600000000003</v>
      </c>
      <c r="C182" s="4">
        <v>3.7993600000000001</v>
      </c>
      <c r="F182" s="2">
        <v>-23.9924</v>
      </c>
      <c r="G182" s="4">
        <v>1.92567</v>
      </c>
      <c r="L182" s="2">
        <v>-8.6303999999999998</v>
      </c>
      <c r="M182" s="4">
        <v>5.3441400000000003</v>
      </c>
      <c r="N182">
        <f t="shared" si="2"/>
        <v>5344.14</v>
      </c>
    </row>
    <row r="183" spans="2:14">
      <c r="B183" s="2">
        <v>-8.7045700000000004</v>
      </c>
      <c r="C183" s="4">
        <v>3.8236599999999998</v>
      </c>
      <c r="F183" s="2">
        <v>-23.528700000000001</v>
      </c>
      <c r="G183" s="4">
        <v>1.95533</v>
      </c>
      <c r="L183" s="2">
        <v>-8.2169899999999991</v>
      </c>
      <c r="M183" s="4">
        <v>5.3634500000000003</v>
      </c>
      <c r="N183">
        <f t="shared" si="2"/>
        <v>5363.4500000000007</v>
      </c>
    </row>
    <row r="184" spans="2:14">
      <c r="B184" s="2">
        <v>-8.6106499999999997</v>
      </c>
      <c r="C184" s="4">
        <v>3.8451499999999998</v>
      </c>
      <c r="F184" s="2">
        <v>-24.261399999999998</v>
      </c>
      <c r="G184" s="4">
        <v>1.9710700000000001</v>
      </c>
      <c r="L184" s="2">
        <v>-8.1134900000000005</v>
      </c>
      <c r="M184" s="4">
        <v>5.3924099999999999</v>
      </c>
      <c r="N184">
        <f t="shared" si="2"/>
        <v>5392.41</v>
      </c>
    </row>
    <row r="185" spans="2:14">
      <c r="B185" s="2">
        <v>-8.7823100000000007</v>
      </c>
      <c r="C185" s="4">
        <v>3.87175</v>
      </c>
      <c r="F185" s="2">
        <v>-21.675999999999998</v>
      </c>
      <c r="G185" s="4">
        <v>1.9802599999999999</v>
      </c>
      <c r="L185" s="2">
        <v>-8.5856899999999996</v>
      </c>
      <c r="M185" s="4">
        <v>5.4117199999999999</v>
      </c>
      <c r="N185">
        <f t="shared" si="2"/>
        <v>5411.72</v>
      </c>
    </row>
    <row r="186" spans="2:14">
      <c r="F186" s="2">
        <v>-22.6404</v>
      </c>
      <c r="G186" s="4">
        <v>1.9905299999999999</v>
      </c>
      <c r="L186" s="2">
        <v>-8.5264100000000003</v>
      </c>
      <c r="M186" s="4">
        <v>5.4503399999999997</v>
      </c>
      <c r="N186">
        <f t="shared" si="2"/>
        <v>5450.34</v>
      </c>
    </row>
    <row r="187" spans="2:14">
      <c r="F187" s="2">
        <v>-21.6753</v>
      </c>
      <c r="G187" s="4">
        <v>2.0070299999999999</v>
      </c>
      <c r="L187" s="2">
        <v>-8.7181999999999995</v>
      </c>
      <c r="M187" s="4">
        <v>5.4648300000000001</v>
      </c>
      <c r="N187">
        <f t="shared" si="2"/>
        <v>5464.83</v>
      </c>
    </row>
    <row r="188" spans="2:14">
      <c r="F188" s="2">
        <v>-22.659099999999999</v>
      </c>
      <c r="G188" s="4">
        <v>2.0119500000000001</v>
      </c>
      <c r="L188" s="2">
        <v>-8.3785900000000009</v>
      </c>
      <c r="M188" s="4">
        <v>5.48414</v>
      </c>
      <c r="N188">
        <f t="shared" si="2"/>
        <v>5484.14</v>
      </c>
    </row>
    <row r="189" spans="2:14">
      <c r="F189" s="2">
        <v>-23.430599999999998</v>
      </c>
      <c r="G189" s="4">
        <v>2.0223100000000001</v>
      </c>
      <c r="L189" s="2">
        <v>-8.5407100000000007</v>
      </c>
      <c r="M189" s="4">
        <v>5.5227599999999999</v>
      </c>
      <c r="N189">
        <f t="shared" si="2"/>
        <v>5522.76</v>
      </c>
    </row>
    <row r="190" spans="2:14">
      <c r="F190" s="2">
        <v>-22.446300000000001</v>
      </c>
      <c r="G190" s="4">
        <v>2.0388099999999998</v>
      </c>
      <c r="L190" s="2">
        <v>-8.2157099999999996</v>
      </c>
      <c r="M190" s="4">
        <v>5.5662099999999999</v>
      </c>
      <c r="N190">
        <f t="shared" si="2"/>
        <v>5566.21</v>
      </c>
    </row>
    <row r="191" spans="2:14">
      <c r="F191" s="2">
        <v>-21.828800000000001</v>
      </c>
      <c r="G191" s="4">
        <v>2.0444399999999998</v>
      </c>
      <c r="L191" s="2">
        <v>-8.4665700000000008</v>
      </c>
      <c r="M191" s="4">
        <v>5.5758599999999996</v>
      </c>
      <c r="N191">
        <f t="shared" si="2"/>
        <v>5575.86</v>
      </c>
    </row>
    <row r="192" spans="2:14">
      <c r="F192" s="2">
        <v>-22.793199999999999</v>
      </c>
      <c r="G192" s="4">
        <v>2.0547200000000001</v>
      </c>
      <c r="L192" s="2">
        <v>-7.9646100000000004</v>
      </c>
      <c r="M192" s="4">
        <v>5.5951700000000004</v>
      </c>
      <c r="N192">
        <f t="shared" si="2"/>
        <v>5595.17</v>
      </c>
    </row>
    <row r="193" spans="6:14">
      <c r="F193" s="2">
        <v>-21.847100000000001</v>
      </c>
      <c r="G193" s="4">
        <v>2.0846</v>
      </c>
      <c r="L193" s="2">
        <v>-8.1711600000000004</v>
      </c>
      <c r="M193" s="4">
        <v>5.6096599999999999</v>
      </c>
      <c r="N193">
        <f t="shared" si="2"/>
        <v>5609.66</v>
      </c>
    </row>
    <row r="194" spans="6:14">
      <c r="F194" s="2">
        <v>-23.7377</v>
      </c>
      <c r="G194" s="4">
        <v>2.0891099999999998</v>
      </c>
      <c r="L194" s="2">
        <v>-7.5804099999999996</v>
      </c>
      <c r="M194" s="4">
        <v>5.6627599999999996</v>
      </c>
      <c r="N194">
        <f t="shared" si="2"/>
        <v>5662.7599999999993</v>
      </c>
    </row>
    <row r="195" spans="6:14">
      <c r="F195" s="2">
        <v>-24.489599999999999</v>
      </c>
      <c r="G195" s="4">
        <v>2.1101899999999998</v>
      </c>
      <c r="L195" s="2">
        <v>-7.8899800000000004</v>
      </c>
      <c r="M195" s="4">
        <v>5.7255200000000004</v>
      </c>
      <c r="N195">
        <f t="shared" si="2"/>
        <v>5725.52</v>
      </c>
    </row>
    <row r="196" spans="6:14">
      <c r="F196" s="2">
        <v>-24.026</v>
      </c>
      <c r="G196" s="4">
        <v>2.13449</v>
      </c>
      <c r="L196" s="2">
        <v>-7.7271599999999996</v>
      </c>
      <c r="M196" s="4">
        <v>5.79793</v>
      </c>
      <c r="N196">
        <f t="shared" si="2"/>
        <v>5797.93</v>
      </c>
    </row>
    <row r="197" spans="6:14">
      <c r="F197" s="2">
        <v>-22.636800000000001</v>
      </c>
      <c r="G197" s="4">
        <v>2.1404700000000001</v>
      </c>
      <c r="L197" s="2">
        <v>-7.8596399999999997</v>
      </c>
      <c r="M197" s="4">
        <v>5.8558599999999998</v>
      </c>
      <c r="N197">
        <f t="shared" si="2"/>
        <v>5855.86</v>
      </c>
    </row>
    <row r="198" spans="6:14">
      <c r="F198" s="2">
        <v>-22.906600000000001</v>
      </c>
      <c r="G198" s="4">
        <v>2.1510600000000002</v>
      </c>
      <c r="L198" s="2">
        <v>-7.7857399999999997</v>
      </c>
      <c r="M198" s="4">
        <v>5.8703399999999997</v>
      </c>
      <c r="N198">
        <f t="shared" si="2"/>
        <v>5870.3399999999992</v>
      </c>
    </row>
    <row r="199" spans="6:14">
      <c r="F199" s="2">
        <v>-24.3916</v>
      </c>
      <c r="G199" s="4">
        <v>2.1718099999999998</v>
      </c>
      <c r="L199" s="2">
        <v>-7.9625300000000001</v>
      </c>
      <c r="M199" s="4">
        <v>5.9234499999999999</v>
      </c>
      <c r="N199">
        <f t="shared" ref="N199:N227" si="3">1000*M199</f>
        <v>5923.45</v>
      </c>
    </row>
    <row r="200" spans="6:14">
      <c r="F200" s="2">
        <v>-23.696899999999999</v>
      </c>
      <c r="G200" s="4">
        <v>2.1801599999999999</v>
      </c>
      <c r="L200" s="2">
        <v>-7.9032799999999996</v>
      </c>
      <c r="M200" s="4">
        <v>5.9572399999999996</v>
      </c>
      <c r="N200">
        <f t="shared" si="3"/>
        <v>5957.24</v>
      </c>
    </row>
    <row r="201" spans="6:14">
      <c r="F201" s="2">
        <v>-24.0045</v>
      </c>
      <c r="G201" s="4">
        <v>2.2228599999999998</v>
      </c>
      <c r="L201" s="2">
        <v>-8.0654800000000009</v>
      </c>
      <c r="M201" s="4">
        <v>5.9813799999999997</v>
      </c>
      <c r="N201">
        <f t="shared" si="3"/>
        <v>5981.38</v>
      </c>
    </row>
    <row r="202" spans="6:14">
      <c r="F202" s="2">
        <v>-22.788799999999998</v>
      </c>
      <c r="G202" s="4">
        <v>2.2367900000000001</v>
      </c>
      <c r="L202" s="2">
        <v>-7.9177299999999997</v>
      </c>
      <c r="M202" s="4">
        <v>6.0055199999999997</v>
      </c>
      <c r="N202">
        <f t="shared" si="3"/>
        <v>6005.5199999999995</v>
      </c>
    </row>
    <row r="203" spans="6:14">
      <c r="F203" s="2">
        <v>-22.383299999999998</v>
      </c>
      <c r="G203" s="4">
        <v>2.2503500000000001</v>
      </c>
      <c r="L203" s="2">
        <v>-7.7993100000000002</v>
      </c>
      <c r="M203" s="4">
        <v>6.0586200000000003</v>
      </c>
      <c r="N203">
        <f t="shared" si="3"/>
        <v>6058.62</v>
      </c>
    </row>
    <row r="204" spans="6:14">
      <c r="F204" s="2">
        <v>-24.216100000000001</v>
      </c>
      <c r="G204" s="4">
        <v>2.2522099999999998</v>
      </c>
      <c r="L204" s="2">
        <v>-7.9910399999999999</v>
      </c>
      <c r="M204" s="4">
        <v>6.0827600000000004</v>
      </c>
      <c r="N204">
        <f t="shared" si="3"/>
        <v>6082.76</v>
      </c>
    </row>
    <row r="205" spans="6:14">
      <c r="F205" s="2">
        <v>-22.614100000000001</v>
      </c>
      <c r="G205" s="4">
        <v>2.2797000000000001</v>
      </c>
      <c r="L205" s="2">
        <v>-7.81358</v>
      </c>
      <c r="M205" s="4">
        <v>6.1358600000000001</v>
      </c>
      <c r="N205">
        <f t="shared" si="3"/>
        <v>6135.86</v>
      </c>
    </row>
    <row r="206" spans="6:14">
      <c r="F206" s="2">
        <v>-24.1189</v>
      </c>
      <c r="G206" s="4">
        <v>2.2817099999999999</v>
      </c>
      <c r="L206" s="2">
        <v>-8.1084800000000001</v>
      </c>
      <c r="M206" s="4">
        <v>6.1841400000000002</v>
      </c>
      <c r="N206">
        <f t="shared" si="3"/>
        <v>6184.14</v>
      </c>
    </row>
    <row r="207" spans="6:14">
      <c r="F207" s="2">
        <v>-23.347000000000001</v>
      </c>
      <c r="G207" s="4">
        <v>2.2900900000000002</v>
      </c>
      <c r="L207" s="2">
        <v>-7.9016599999999997</v>
      </c>
      <c r="M207" s="4">
        <v>6.2130999999999998</v>
      </c>
      <c r="N207">
        <f t="shared" si="3"/>
        <v>6213.0999999999995</v>
      </c>
    </row>
    <row r="208" spans="6:14">
      <c r="F208" s="2">
        <v>-23.230899999999998</v>
      </c>
      <c r="G208" s="4">
        <v>2.3035199999999998</v>
      </c>
      <c r="L208" s="2">
        <v>-8.1523299999999992</v>
      </c>
      <c r="M208" s="4">
        <v>6.2517199999999997</v>
      </c>
      <c r="N208">
        <f t="shared" si="3"/>
        <v>6251.7199999999993</v>
      </c>
    </row>
    <row r="209" spans="6:14">
      <c r="F209" s="2">
        <v>-21.938300000000002</v>
      </c>
      <c r="G209" s="4">
        <v>2.3041</v>
      </c>
      <c r="L209" s="2">
        <v>-7.9603299999999999</v>
      </c>
      <c r="M209" s="4">
        <v>6.2710299999999997</v>
      </c>
      <c r="N209">
        <f t="shared" si="3"/>
        <v>6271.03</v>
      </c>
    </row>
    <row r="210" spans="6:14">
      <c r="F210" s="2">
        <v>-22.8062</v>
      </c>
      <c r="G210" s="4">
        <v>2.3144200000000001</v>
      </c>
      <c r="L210" s="2">
        <v>-7.9009200000000002</v>
      </c>
      <c r="M210" s="4">
        <v>6.32897</v>
      </c>
      <c r="N210">
        <f t="shared" si="3"/>
        <v>6328.97</v>
      </c>
    </row>
    <row r="211" spans="6:14">
      <c r="F211" s="2">
        <v>-23.9057</v>
      </c>
      <c r="G211" s="4">
        <v>2.3219599999999998</v>
      </c>
      <c r="L211" s="2">
        <v>-8.5354600000000005</v>
      </c>
      <c r="M211" s="4">
        <v>6.3531000000000004</v>
      </c>
      <c r="N211">
        <f t="shared" si="3"/>
        <v>6353.1</v>
      </c>
    </row>
    <row r="212" spans="6:14">
      <c r="F212" s="2">
        <v>-22.535599999999999</v>
      </c>
      <c r="G212" s="4">
        <v>2.33596</v>
      </c>
      <c r="L212" s="2">
        <v>-8.1806300000000007</v>
      </c>
      <c r="M212" s="4">
        <v>6.4448299999999996</v>
      </c>
      <c r="N212">
        <f t="shared" si="3"/>
        <v>6444.83</v>
      </c>
    </row>
    <row r="213" spans="6:14">
      <c r="F213" s="2">
        <v>-24.5609</v>
      </c>
      <c r="G213" s="4">
        <v>2.3511199999999999</v>
      </c>
      <c r="L213" s="2">
        <v>-8.4605899999999998</v>
      </c>
      <c r="M213" s="4">
        <v>6.5220700000000003</v>
      </c>
      <c r="N213">
        <f t="shared" si="3"/>
        <v>6522.0700000000006</v>
      </c>
    </row>
    <row r="214" spans="6:14">
      <c r="F214" s="2">
        <v>-24.348400000000002</v>
      </c>
      <c r="G214" s="4">
        <v>2.3645999999999998</v>
      </c>
      <c r="L214" s="2">
        <v>-8.2537000000000003</v>
      </c>
      <c r="M214" s="4">
        <v>6.5606900000000001</v>
      </c>
      <c r="N214">
        <f t="shared" si="3"/>
        <v>6560.6900000000005</v>
      </c>
    </row>
    <row r="215" spans="6:14">
      <c r="F215" s="2">
        <v>-23.035900000000002</v>
      </c>
      <c r="G215" s="4">
        <v>2.3892899999999999</v>
      </c>
      <c r="L215" s="2">
        <v>-8.4601900000000008</v>
      </c>
      <c r="M215" s="4">
        <v>6.5848300000000002</v>
      </c>
      <c r="N215">
        <f t="shared" si="3"/>
        <v>6584.83</v>
      </c>
    </row>
    <row r="216" spans="6:14">
      <c r="F216" s="2">
        <v>-23.903600000000001</v>
      </c>
      <c r="G216" s="4">
        <v>2.4076399999999998</v>
      </c>
      <c r="L216" s="2">
        <v>-8.3124699999999994</v>
      </c>
      <c r="M216" s="4">
        <v>6.6041400000000001</v>
      </c>
      <c r="N216">
        <f t="shared" si="3"/>
        <v>6604.14</v>
      </c>
    </row>
    <row r="217" spans="6:14">
      <c r="F217" s="2">
        <v>-23.382300000000001</v>
      </c>
      <c r="G217" s="4">
        <v>2.42394</v>
      </c>
      <c r="L217" s="2">
        <v>-8.7845800000000001</v>
      </c>
      <c r="M217" s="4">
        <v>6.6379299999999999</v>
      </c>
      <c r="N217">
        <f t="shared" si="3"/>
        <v>6637.93</v>
      </c>
    </row>
    <row r="218" spans="6:14">
      <c r="F218" s="2">
        <v>-24.192399999999999</v>
      </c>
      <c r="G218" s="4">
        <v>2.4342899999999998</v>
      </c>
      <c r="L218" s="2">
        <v>-8.6958000000000002</v>
      </c>
      <c r="M218" s="4">
        <v>6.6717199999999997</v>
      </c>
      <c r="N218">
        <f t="shared" si="3"/>
        <v>6671.7199999999993</v>
      </c>
    </row>
    <row r="219" spans="6:14">
      <c r="F219" s="2">
        <v>-24.1342</v>
      </c>
      <c r="G219" s="4">
        <v>2.44502</v>
      </c>
      <c r="L219" s="2">
        <v>-8.0757899999999996</v>
      </c>
      <c r="M219" s="4">
        <v>6.68621</v>
      </c>
      <c r="N219">
        <f t="shared" si="3"/>
        <v>6686.21</v>
      </c>
    </row>
    <row r="220" spans="6:14">
      <c r="F220" s="2">
        <v>-23.034400000000002</v>
      </c>
      <c r="G220" s="4">
        <v>2.4508700000000001</v>
      </c>
      <c r="L220" s="2">
        <v>-8.0165600000000001</v>
      </c>
      <c r="M220" s="4">
        <v>6.7151699999999996</v>
      </c>
      <c r="N220">
        <f t="shared" si="3"/>
        <v>6715.17</v>
      </c>
    </row>
    <row r="221" spans="6:14">
      <c r="F221" s="2">
        <v>-23.304500000000001</v>
      </c>
      <c r="G221" s="4">
        <v>2.4534199999999999</v>
      </c>
      <c r="L221" s="2">
        <v>-7.7212699999999996</v>
      </c>
      <c r="M221" s="4">
        <v>6.72966</v>
      </c>
      <c r="N221">
        <f t="shared" si="3"/>
        <v>6729.66</v>
      </c>
    </row>
    <row r="222" spans="6:14">
      <c r="F222" s="2">
        <v>-22.783000000000001</v>
      </c>
      <c r="G222" s="4">
        <v>2.4750800000000002</v>
      </c>
      <c r="L222" s="2">
        <v>-8.2819699999999994</v>
      </c>
      <c r="M222" s="4">
        <v>6.7586199999999996</v>
      </c>
      <c r="N222">
        <f t="shared" si="3"/>
        <v>6758.62</v>
      </c>
    </row>
    <row r="223" spans="6:14">
      <c r="F223" s="2">
        <v>-23.631799999999998</v>
      </c>
      <c r="G223" s="4">
        <v>2.4773700000000001</v>
      </c>
      <c r="L223" s="2">
        <v>-8.3554300000000001</v>
      </c>
      <c r="M223" s="4">
        <v>6.8117200000000002</v>
      </c>
      <c r="N223">
        <f t="shared" si="3"/>
        <v>6811.72</v>
      </c>
    </row>
    <row r="224" spans="6:14">
      <c r="F224" s="2">
        <v>-24.056000000000001</v>
      </c>
      <c r="G224" s="4">
        <v>2.4878900000000002</v>
      </c>
      <c r="L224" s="2">
        <v>-7.0416600000000003</v>
      </c>
      <c r="M224" s="4">
        <v>6.8310300000000002</v>
      </c>
      <c r="N224">
        <f t="shared" si="3"/>
        <v>6831.03</v>
      </c>
    </row>
    <row r="225" spans="6:14">
      <c r="F225" s="2">
        <v>-22.7439</v>
      </c>
      <c r="G225" s="4">
        <v>2.49919</v>
      </c>
      <c r="L225" s="2">
        <v>-6.7610000000000001</v>
      </c>
      <c r="M225" s="4">
        <v>6.8648300000000004</v>
      </c>
      <c r="N225">
        <f t="shared" si="3"/>
        <v>6864.8300000000008</v>
      </c>
    </row>
    <row r="226" spans="6:14">
      <c r="F226" s="2">
        <v>-23.0716</v>
      </c>
      <c r="G226" s="4">
        <v>2.5070800000000002</v>
      </c>
      <c r="L226" s="2">
        <v>-7.9119299999999999</v>
      </c>
      <c r="M226" s="4">
        <v>6.9227600000000002</v>
      </c>
      <c r="N226">
        <f t="shared" si="3"/>
        <v>6922.76</v>
      </c>
    </row>
    <row r="227" spans="6:14">
      <c r="F227" s="2">
        <v>-23.901199999999999</v>
      </c>
      <c r="G227" s="4">
        <v>2.5093800000000002</v>
      </c>
      <c r="L227" s="2">
        <v>-7.5721999999999996</v>
      </c>
      <c r="M227" s="4">
        <v>6.9613800000000001</v>
      </c>
      <c r="N227">
        <f t="shared" si="3"/>
        <v>6961.38</v>
      </c>
    </row>
    <row r="228" spans="6:14">
      <c r="F228" s="2">
        <v>-22.068000000000001</v>
      </c>
      <c r="G228" s="4">
        <v>2.52359</v>
      </c>
    </row>
    <row r="229" spans="6:14">
      <c r="F229" s="2">
        <v>-23.8811</v>
      </c>
      <c r="G229" s="4">
        <v>2.5415199999999998</v>
      </c>
    </row>
    <row r="230" spans="6:14">
      <c r="F230" s="2">
        <v>-23.5336</v>
      </c>
      <c r="G230" s="4">
        <v>2.5523799999999999</v>
      </c>
    </row>
    <row r="231" spans="6:14">
      <c r="F231" s="2">
        <v>-24.1311</v>
      </c>
      <c r="G231" s="4">
        <v>2.5762100000000001</v>
      </c>
    </row>
    <row r="232" spans="6:14">
      <c r="F232" s="2">
        <v>-21.738800000000001</v>
      </c>
      <c r="G232" s="4">
        <v>2.57728</v>
      </c>
    </row>
    <row r="233" spans="6:14">
      <c r="F233" s="2">
        <v>-23.146699999999999</v>
      </c>
      <c r="G233" s="4">
        <v>2.5954000000000002</v>
      </c>
    </row>
  </sheetData>
  <phoneticPr fontId="2" type="noConversion"/>
  <pageMargins left="0.7" right="0.7" top="0.75" bottom="0.75" header="0.3" footer="0.3"/>
  <pageSetup paperSize="9" orientation="portrait"/>
  <drawing r:id="rId1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33"/>
  <sheetViews>
    <sheetView workbookViewId="0">
      <selection activeCell="D1" sqref="D1:E65536"/>
    </sheetView>
  </sheetViews>
  <sheetFormatPr baseColWidth="10" defaultRowHeight="15"/>
  <cols>
    <col min="1" max="1" width="8.83203125" customWidth="1"/>
    <col min="2" max="2" width="9" style="2" customWidth="1"/>
    <col min="3" max="3" width="9" style="4" customWidth="1"/>
    <col min="4" max="4" width="9" style="2" customWidth="1"/>
    <col min="5" max="8" width="9" style="4" customWidth="1"/>
    <col min="9" max="9" width="9" style="1" customWidth="1"/>
    <col min="10" max="10" width="8.83203125" customWidth="1"/>
    <col min="11" max="11" width="9" style="2" customWidth="1"/>
    <col min="12" max="12" width="9" style="4" customWidth="1"/>
    <col min="13" max="256" width="8.83203125" customWidth="1"/>
  </cols>
  <sheetData>
    <row r="1" spans="1:12">
      <c r="A1" s="1" t="s">
        <v>7</v>
      </c>
      <c r="C1" s="2"/>
      <c r="E1" s="2"/>
      <c r="F1" s="2"/>
      <c r="G1" s="2"/>
      <c r="H1" s="2"/>
    </row>
    <row r="2" spans="1:12">
      <c r="A2" s="1" t="s">
        <v>8</v>
      </c>
      <c r="C2" s="2"/>
      <c r="E2" s="2"/>
      <c r="F2" s="2"/>
      <c r="G2" s="2"/>
      <c r="H2" s="2"/>
    </row>
    <row r="3" spans="1:12">
      <c r="C3" s="2"/>
      <c r="E3" s="2"/>
      <c r="F3" s="2"/>
      <c r="G3" s="2"/>
      <c r="H3" s="2"/>
    </row>
    <row r="4" spans="1:12">
      <c r="B4" s="3" t="s">
        <v>4</v>
      </c>
      <c r="C4" s="3"/>
      <c r="E4" s="3"/>
      <c r="F4" s="3"/>
      <c r="G4" s="3"/>
      <c r="H4" s="3"/>
      <c r="K4" s="5" t="s">
        <v>9</v>
      </c>
    </row>
    <row r="5" spans="1:12">
      <c r="B5" s="2" t="s">
        <v>3</v>
      </c>
      <c r="C5" s="4" t="s">
        <v>5</v>
      </c>
      <c r="D5" s="2" t="s">
        <v>6</v>
      </c>
      <c r="E5" s="4" t="s">
        <v>5</v>
      </c>
      <c r="K5" s="2" t="s">
        <v>3</v>
      </c>
      <c r="L5" s="4" t="s">
        <v>5</v>
      </c>
    </row>
    <row r="6" spans="1:12">
      <c r="A6" s="1" t="s">
        <v>0</v>
      </c>
      <c r="B6" s="2">
        <v>-7.6874900000000004</v>
      </c>
      <c r="C6" s="4">
        <v>9.1834499999999993E-3</v>
      </c>
      <c r="D6" s="2">
        <v>-22.958100000000002</v>
      </c>
      <c r="E6" s="4">
        <v>1.4489E-2</v>
      </c>
      <c r="F6" s="8">
        <f>B6-D6</f>
        <v>15.270610000000001</v>
      </c>
      <c r="I6" s="1" t="s">
        <v>0</v>
      </c>
      <c r="K6" s="2">
        <v>-7.0108899999999998</v>
      </c>
      <c r="L6" s="4">
        <v>2.8965500000000002E-2</v>
      </c>
    </row>
    <row r="7" spans="1:12">
      <c r="A7" s="1" t="s">
        <v>0</v>
      </c>
      <c r="B7" s="2">
        <v>-7.0468400000000004</v>
      </c>
      <c r="C7" s="4">
        <v>1.2430399999999999E-2</v>
      </c>
      <c r="D7" s="2">
        <v>-22.282699999999998</v>
      </c>
      <c r="E7" s="4">
        <v>2.0145099999999999E-2</v>
      </c>
      <c r="F7" s="8">
        <f t="shared" ref="F7:F70" si="0">B7-D7</f>
        <v>15.235859999999999</v>
      </c>
      <c r="I7" s="1" t="s">
        <v>0</v>
      </c>
      <c r="K7" s="2">
        <v>-8.1767599999999998</v>
      </c>
      <c r="L7" s="4">
        <v>5.7931000000000003E-2</v>
      </c>
    </row>
    <row r="8" spans="1:12">
      <c r="A8" s="1" t="s">
        <v>1</v>
      </c>
      <c r="B8" s="2">
        <v>-6.9528800000000004</v>
      </c>
      <c r="C8" s="4">
        <v>3.9270100000000002E-2</v>
      </c>
      <c r="D8" s="2">
        <v>-22.5139</v>
      </c>
      <c r="E8" s="4">
        <v>3.3428800000000002E-2</v>
      </c>
      <c r="F8" s="8">
        <f t="shared" si="0"/>
        <v>15.561019999999999</v>
      </c>
      <c r="I8" s="1" t="s">
        <v>1</v>
      </c>
      <c r="K8" s="2">
        <v>-6.2131699999999999</v>
      </c>
      <c r="L8" s="4">
        <v>0.13517199999999999</v>
      </c>
    </row>
    <row r="9" spans="1:12">
      <c r="A9" s="1" t="s">
        <v>1</v>
      </c>
      <c r="B9" s="2">
        <v>-7.79657</v>
      </c>
      <c r="C9" s="4">
        <v>4.65444E-2</v>
      </c>
      <c r="D9" s="2">
        <v>-20.931699999999999</v>
      </c>
      <c r="E9" s="4">
        <v>4.2167000000000003E-2</v>
      </c>
      <c r="F9" s="8">
        <f t="shared" si="0"/>
        <v>13.13513</v>
      </c>
      <c r="I9" s="1" t="s">
        <v>1</v>
      </c>
      <c r="K9" s="2">
        <v>-7.5266700000000002</v>
      </c>
      <c r="L9" s="4">
        <v>0.15931000000000001</v>
      </c>
    </row>
    <row r="10" spans="1:12">
      <c r="A10" s="1" t="s">
        <v>1</v>
      </c>
      <c r="B10" s="2">
        <v>-6.2963800000000001</v>
      </c>
      <c r="C10" s="4">
        <v>7.1962600000000002E-2</v>
      </c>
      <c r="D10" s="2">
        <v>-19.716100000000001</v>
      </c>
      <c r="E10" s="4">
        <v>5.0741599999999998E-2</v>
      </c>
      <c r="F10" s="8">
        <f t="shared" si="0"/>
        <v>13.419720000000002</v>
      </c>
      <c r="I10" s="1" t="s">
        <v>1</v>
      </c>
      <c r="K10" s="2">
        <v>-7.8070500000000003</v>
      </c>
      <c r="L10" s="4">
        <v>0.16896600000000001</v>
      </c>
    </row>
    <row r="11" spans="1:12">
      <c r="A11" s="1" t="s">
        <v>1</v>
      </c>
      <c r="B11" s="2">
        <v>-7.2961099999999997</v>
      </c>
      <c r="C11" s="4">
        <v>0.105854</v>
      </c>
      <c r="D11" s="2">
        <v>-20.352599999999999</v>
      </c>
      <c r="E11" s="4">
        <v>5.5812300000000002E-2</v>
      </c>
      <c r="F11" s="8">
        <f t="shared" si="0"/>
        <v>13.05649</v>
      </c>
      <c r="I11" s="1" t="s">
        <v>1</v>
      </c>
      <c r="K11" s="2">
        <v>-7.0688899999999997</v>
      </c>
      <c r="L11" s="4">
        <v>0.193103</v>
      </c>
    </row>
    <row r="12" spans="1:12">
      <c r="A12" s="1" t="s">
        <v>2</v>
      </c>
      <c r="B12" s="2">
        <v>-8.2491199999999996</v>
      </c>
      <c r="C12" s="4">
        <v>0.121057</v>
      </c>
      <c r="D12" s="2">
        <v>-21.6065</v>
      </c>
      <c r="E12" s="4">
        <v>6.0607500000000002E-2</v>
      </c>
      <c r="F12" s="8">
        <f t="shared" si="0"/>
        <v>13.357380000000001</v>
      </c>
      <c r="I12" s="1" t="s">
        <v>1</v>
      </c>
      <c r="K12" s="2">
        <v>-7.7771600000000003</v>
      </c>
      <c r="L12" s="4">
        <v>0.22689699999999999</v>
      </c>
    </row>
    <row r="13" spans="1:12">
      <c r="A13" s="1" t="s">
        <v>2</v>
      </c>
      <c r="B13" s="2">
        <v>-7.4208400000000001</v>
      </c>
      <c r="C13" s="4">
        <v>0.14052500000000001</v>
      </c>
      <c r="D13" s="2">
        <v>-22.455200000000001</v>
      </c>
      <c r="E13" s="4">
        <v>6.8260899999999999E-2</v>
      </c>
      <c r="F13" s="8">
        <f t="shared" si="0"/>
        <v>15.034360000000001</v>
      </c>
      <c r="I13" s="1" t="s">
        <v>1</v>
      </c>
      <c r="K13" s="2">
        <v>-4.8692299999999999</v>
      </c>
      <c r="L13" s="4">
        <v>0.25586199999999998</v>
      </c>
    </row>
    <row r="14" spans="1:12">
      <c r="B14" s="2">
        <v>-4.6551499999999999</v>
      </c>
      <c r="C14" s="4">
        <v>0.148343</v>
      </c>
      <c r="D14" s="2">
        <v>-18.654</v>
      </c>
      <c r="E14" s="4">
        <v>9.1376100000000002E-2</v>
      </c>
      <c r="F14" s="8">
        <f t="shared" si="0"/>
        <v>13.998850000000001</v>
      </c>
      <c r="I14" s="1" t="s">
        <v>2</v>
      </c>
      <c r="K14" s="2">
        <v>-7.31935</v>
      </c>
      <c r="L14" s="4">
        <v>0.265517</v>
      </c>
    </row>
    <row r="15" spans="1:12">
      <c r="B15" s="2">
        <v>-4.0144599999999997</v>
      </c>
      <c r="C15" s="4">
        <v>0.156941</v>
      </c>
      <c r="D15" s="2">
        <v>-16.898399999999999</v>
      </c>
      <c r="E15" s="4">
        <v>9.2159599999999994E-2</v>
      </c>
      <c r="F15" s="8">
        <f t="shared" si="0"/>
        <v>12.883939999999999</v>
      </c>
      <c r="I15" s="1" t="s">
        <v>2</v>
      </c>
      <c r="K15" s="2">
        <v>-6.4630799999999997</v>
      </c>
      <c r="L15" s="4">
        <v>0.29448299999999999</v>
      </c>
    </row>
    <row r="16" spans="1:12">
      <c r="B16" s="2">
        <v>-6.9518800000000001</v>
      </c>
      <c r="C16" s="4">
        <v>0.16769899999999999</v>
      </c>
      <c r="D16" s="2">
        <v>-19.348099999999999</v>
      </c>
      <c r="E16" s="4">
        <v>0.109808</v>
      </c>
      <c r="F16" s="8">
        <f t="shared" si="0"/>
        <v>12.39622</v>
      </c>
      <c r="I16" s="1" t="s">
        <v>2</v>
      </c>
      <c r="K16" s="2">
        <v>-7.0829500000000003</v>
      </c>
      <c r="L16" s="4">
        <v>0.30413800000000002</v>
      </c>
    </row>
    <row r="17" spans="2:12">
      <c r="B17" s="2">
        <v>-5.5143700000000004</v>
      </c>
      <c r="C17" s="4">
        <v>0.16898099999999999</v>
      </c>
      <c r="D17" s="2">
        <v>-19.946100000000001</v>
      </c>
      <c r="E17" s="4">
        <v>0.112219</v>
      </c>
      <c r="F17" s="8">
        <f t="shared" si="0"/>
        <v>14.431730000000002</v>
      </c>
      <c r="I17" s="1" t="s">
        <v>2</v>
      </c>
      <c r="K17" s="2">
        <v>-6.1528099999999997</v>
      </c>
      <c r="L17" s="4">
        <v>0.34275899999999998</v>
      </c>
    </row>
    <row r="18" spans="2:12">
      <c r="B18" s="2">
        <v>-4.9986600000000001</v>
      </c>
      <c r="C18" s="4">
        <v>0.180143</v>
      </c>
      <c r="D18" s="2">
        <v>-18.981200000000001</v>
      </c>
      <c r="E18" s="4">
        <v>0.12603600000000001</v>
      </c>
      <c r="F18" s="8">
        <f t="shared" si="0"/>
        <v>13.98254</v>
      </c>
      <c r="I18" s="1" t="s">
        <v>2</v>
      </c>
      <c r="K18" s="2">
        <v>-5.1932499999999999</v>
      </c>
      <c r="L18" s="4">
        <v>0.36689699999999997</v>
      </c>
    </row>
    <row r="19" spans="2:12">
      <c r="B19" s="2">
        <v>-6.9046900000000004</v>
      </c>
      <c r="C19" s="4">
        <v>0.207875</v>
      </c>
      <c r="D19" s="2">
        <v>-21.624199999999998</v>
      </c>
      <c r="E19" s="4">
        <v>0.12753400000000001</v>
      </c>
      <c r="F19" s="8">
        <f t="shared" si="0"/>
        <v>14.719509999999998</v>
      </c>
      <c r="I19" s="1" t="s">
        <v>2</v>
      </c>
      <c r="K19" s="2">
        <v>-6.4478</v>
      </c>
      <c r="L19" s="4">
        <v>0.376552</v>
      </c>
    </row>
    <row r="20" spans="2:12">
      <c r="B20" s="2">
        <v>-8.5451599999999992</v>
      </c>
      <c r="C20" s="4">
        <v>0.22781699999999999</v>
      </c>
      <c r="D20" s="2">
        <v>-20.659500000000001</v>
      </c>
      <c r="E20" s="4">
        <v>0.13064200000000001</v>
      </c>
      <c r="F20" s="8">
        <f t="shared" si="0"/>
        <v>12.114340000000002</v>
      </c>
      <c r="K20" s="2">
        <v>-7.7023799999999998</v>
      </c>
      <c r="L20" s="4">
        <v>0.38137900000000002</v>
      </c>
    </row>
    <row r="21" spans="2:12">
      <c r="B21" s="2">
        <v>-5.3105500000000001</v>
      </c>
      <c r="C21" s="4">
        <v>0.25745699999999999</v>
      </c>
      <c r="D21" s="2">
        <v>-19.54</v>
      </c>
      <c r="E21" s="4">
        <v>0.15256</v>
      </c>
      <c r="F21" s="8">
        <f t="shared" si="0"/>
        <v>14.22945</v>
      </c>
      <c r="K21" s="2">
        <v>-5.5028499999999996</v>
      </c>
      <c r="L21" s="4">
        <v>0.42482799999999998</v>
      </c>
    </row>
    <row r="22" spans="2:12">
      <c r="B22" s="2">
        <v>-7.5449000000000002</v>
      </c>
      <c r="C22" s="4">
        <v>0.26081599999999999</v>
      </c>
      <c r="D22" s="2">
        <v>-18.556000000000001</v>
      </c>
      <c r="E22" s="4">
        <v>0.15567700000000001</v>
      </c>
      <c r="F22" s="8">
        <f t="shared" si="0"/>
        <v>11.011100000000001</v>
      </c>
      <c r="K22" s="2">
        <v>-8.1596399999999996</v>
      </c>
      <c r="L22" s="4">
        <v>0.42965500000000001</v>
      </c>
    </row>
    <row r="23" spans="2:12">
      <c r="B23" s="2">
        <v>-8.1541700000000006</v>
      </c>
      <c r="C23" s="4">
        <v>0.27365</v>
      </c>
      <c r="D23" s="2">
        <v>-20.986599999999999</v>
      </c>
      <c r="E23" s="4">
        <v>0.165302</v>
      </c>
      <c r="F23" s="8">
        <f t="shared" si="0"/>
        <v>12.832429999999999</v>
      </c>
      <c r="K23" s="2">
        <v>-6.31447</v>
      </c>
      <c r="L23" s="4">
        <v>0.453793</v>
      </c>
    </row>
    <row r="24" spans="2:12">
      <c r="B24" s="2">
        <v>-4.51342</v>
      </c>
      <c r="C24" s="4">
        <v>0.29027500000000001</v>
      </c>
      <c r="D24" s="2">
        <v>-19.326899999999998</v>
      </c>
      <c r="E24" s="4">
        <v>0.18746099999999999</v>
      </c>
      <c r="F24" s="8">
        <f t="shared" si="0"/>
        <v>14.813479999999998</v>
      </c>
      <c r="K24" s="2">
        <v>-7.9379400000000002</v>
      </c>
      <c r="L24" s="4">
        <v>0.47793099999999999</v>
      </c>
    </row>
    <row r="25" spans="2:12">
      <c r="B25" s="2">
        <v>-6.3258900000000002</v>
      </c>
      <c r="C25" s="4">
        <v>0.29400999999999999</v>
      </c>
      <c r="D25" s="2">
        <v>-18.1694</v>
      </c>
      <c r="E25" s="4">
        <v>0.18797800000000001</v>
      </c>
      <c r="F25" s="8">
        <f t="shared" si="0"/>
        <v>11.843509999999998</v>
      </c>
      <c r="K25" s="2">
        <v>-8.0706600000000002</v>
      </c>
      <c r="L25" s="4">
        <v>0.49724099999999999</v>
      </c>
    </row>
    <row r="26" spans="2:12">
      <c r="B26" s="2">
        <v>-7.4039400000000004</v>
      </c>
      <c r="C26" s="4">
        <v>0.30375099999999999</v>
      </c>
      <c r="D26" s="2">
        <v>-23.0503</v>
      </c>
      <c r="E26" s="4">
        <v>0.193832</v>
      </c>
      <c r="F26" s="8">
        <f t="shared" si="0"/>
        <v>15.64636</v>
      </c>
      <c r="K26" s="2">
        <v>-6.7863100000000003</v>
      </c>
      <c r="L26" s="4">
        <v>0.53103400000000001</v>
      </c>
    </row>
    <row r="27" spans="2:12">
      <c r="B27" s="2">
        <v>-3.99769</v>
      </c>
      <c r="C27" s="4">
        <v>0.30411300000000002</v>
      </c>
      <c r="D27" s="2">
        <v>-21.256</v>
      </c>
      <c r="E27" s="4">
        <v>0.194633</v>
      </c>
      <c r="F27" s="8">
        <f t="shared" si="0"/>
        <v>17.258310000000002</v>
      </c>
      <c r="K27" s="2">
        <v>-8.3950999999999993</v>
      </c>
      <c r="L27" s="4">
        <v>0.54069</v>
      </c>
    </row>
    <row r="28" spans="2:12">
      <c r="B28" s="2">
        <v>-5.4350500000000004</v>
      </c>
      <c r="C28" s="4">
        <v>0.32156000000000001</v>
      </c>
      <c r="D28" s="2">
        <v>-23.397300000000001</v>
      </c>
      <c r="E28" s="4">
        <v>0.201709</v>
      </c>
      <c r="F28" s="8">
        <f t="shared" si="0"/>
        <v>17.962250000000001</v>
      </c>
      <c r="K28" s="2">
        <v>-7.1698599999999999</v>
      </c>
      <c r="L28" s="4">
        <v>0.564828</v>
      </c>
    </row>
    <row r="29" spans="2:12">
      <c r="B29" s="2">
        <v>-7.2005800000000004</v>
      </c>
      <c r="C29" s="4">
        <v>0.33336399999999999</v>
      </c>
      <c r="D29" s="2">
        <v>-23.165400000000002</v>
      </c>
      <c r="E29" s="4">
        <v>0.220554</v>
      </c>
      <c r="F29" s="8">
        <f t="shared" si="0"/>
        <v>15.964820000000001</v>
      </c>
      <c r="K29" s="2">
        <v>-8.3948300000000007</v>
      </c>
      <c r="L29" s="4">
        <v>0.58413800000000005</v>
      </c>
    </row>
    <row r="30" spans="2:12">
      <c r="B30" s="2">
        <v>-4.2629000000000001</v>
      </c>
      <c r="C30" s="4">
        <v>0.35738799999999998</v>
      </c>
      <c r="D30" s="2">
        <v>-20.117100000000001</v>
      </c>
      <c r="E30" s="4">
        <v>0.221915</v>
      </c>
      <c r="F30" s="8">
        <f t="shared" si="0"/>
        <v>15.854200000000001</v>
      </c>
      <c r="K30" s="2">
        <v>-5.9593100000000003</v>
      </c>
      <c r="L30" s="4">
        <v>0.59862099999999996</v>
      </c>
    </row>
    <row r="31" spans="2:12">
      <c r="B31" s="2">
        <v>-3.5440200000000002</v>
      </c>
      <c r="C31" s="4">
        <v>0.374083</v>
      </c>
      <c r="D31" s="2">
        <v>-21.3324</v>
      </c>
      <c r="E31" s="4">
        <v>0.229405</v>
      </c>
      <c r="F31" s="8">
        <f t="shared" si="0"/>
        <v>17.78838</v>
      </c>
      <c r="K31" s="2">
        <v>-6.9333600000000004</v>
      </c>
      <c r="L31" s="4">
        <v>0.61793100000000001</v>
      </c>
    </row>
    <row r="32" spans="2:12">
      <c r="B32" s="2">
        <v>-4.5439400000000001</v>
      </c>
      <c r="C32" s="4">
        <v>0.38389299999999998</v>
      </c>
      <c r="D32" s="2">
        <v>-19.7502</v>
      </c>
      <c r="E32" s="4">
        <v>0.23814299999999999</v>
      </c>
      <c r="F32" s="8">
        <f t="shared" si="0"/>
        <v>15.20626</v>
      </c>
      <c r="K32" s="2">
        <v>-7.1250900000000001</v>
      </c>
      <c r="L32" s="4">
        <v>0.642069</v>
      </c>
    </row>
    <row r="33" spans="2:12">
      <c r="B33" s="2">
        <v>-4.2311199999999998</v>
      </c>
      <c r="C33" s="4">
        <v>0.42430600000000002</v>
      </c>
      <c r="D33" s="2">
        <v>-22.238700000000001</v>
      </c>
      <c r="E33" s="4">
        <v>0.245064</v>
      </c>
      <c r="F33" s="8">
        <f t="shared" si="0"/>
        <v>18.007580000000001</v>
      </c>
      <c r="K33" s="2">
        <v>-8.7337000000000007</v>
      </c>
      <c r="L33" s="4">
        <v>0.68069000000000002</v>
      </c>
    </row>
    <row r="34" spans="2:12">
      <c r="B34" s="2">
        <v>-8.7153200000000002</v>
      </c>
      <c r="C34" s="4">
        <v>0.44706299999999999</v>
      </c>
      <c r="D34" s="2">
        <v>-23.029499999999999</v>
      </c>
      <c r="E34" s="4">
        <v>0.25274400000000002</v>
      </c>
      <c r="F34" s="8">
        <f t="shared" si="0"/>
        <v>14.314179999999999</v>
      </c>
      <c r="K34" s="2">
        <v>-8.3202599999999993</v>
      </c>
      <c r="L34" s="4">
        <v>0.70482800000000001</v>
      </c>
    </row>
    <row r="35" spans="2:12">
      <c r="B35" s="2">
        <v>-4.7934200000000002</v>
      </c>
      <c r="C35" s="4">
        <v>0.45056099999999999</v>
      </c>
      <c r="D35" s="2">
        <v>-18.128900000000002</v>
      </c>
      <c r="E35" s="4">
        <v>0.26563999999999999</v>
      </c>
      <c r="F35" s="8">
        <f t="shared" si="0"/>
        <v>13.33548</v>
      </c>
      <c r="K35" s="2">
        <v>-8.7481899999999992</v>
      </c>
      <c r="L35" s="4">
        <v>0.72413799999999995</v>
      </c>
    </row>
    <row r="36" spans="2:12">
      <c r="B36" s="2">
        <v>-7.5902500000000002</v>
      </c>
      <c r="C36" s="4">
        <v>0.45609300000000003</v>
      </c>
      <c r="D36" s="2">
        <v>-21.022500000000001</v>
      </c>
      <c r="E36" s="4">
        <v>0.28041300000000002</v>
      </c>
      <c r="F36" s="8">
        <f t="shared" si="0"/>
        <v>13.43225</v>
      </c>
      <c r="K36" s="2">
        <v>-8.6297999999999995</v>
      </c>
      <c r="L36" s="4">
        <v>0.77241400000000004</v>
      </c>
    </row>
    <row r="37" spans="2:12">
      <c r="B37" s="2">
        <v>-5.9025299999999996</v>
      </c>
      <c r="C37" s="4">
        <v>0.48435400000000001</v>
      </c>
      <c r="D37" s="2">
        <v>-22.990100000000002</v>
      </c>
      <c r="E37" s="4">
        <v>0.290244</v>
      </c>
      <c r="F37" s="8">
        <f t="shared" si="0"/>
        <v>17.087570000000003</v>
      </c>
      <c r="K37" s="2">
        <v>-8.8362599999999993</v>
      </c>
      <c r="L37" s="4">
        <v>0.80137899999999995</v>
      </c>
    </row>
    <row r="38" spans="2:12">
      <c r="B38" s="2">
        <v>-7.4805200000000003</v>
      </c>
      <c r="C38" s="4">
        <v>0.50167600000000001</v>
      </c>
      <c r="D38" s="2">
        <v>-23.1632</v>
      </c>
      <c r="E38" s="4">
        <v>0.30890899999999999</v>
      </c>
      <c r="F38" s="8">
        <f t="shared" si="0"/>
        <v>15.68268</v>
      </c>
      <c r="K38" s="2">
        <v>-7.1093200000000003</v>
      </c>
      <c r="L38" s="4">
        <v>0.80137899999999995</v>
      </c>
    </row>
    <row r="39" spans="2:12">
      <c r="B39" s="2">
        <v>-4.9960599999999999</v>
      </c>
      <c r="C39" s="4">
        <v>0.51191799999999998</v>
      </c>
      <c r="D39" s="2">
        <v>-20.732099999999999</v>
      </c>
      <c r="E39" s="4">
        <v>0.32070300000000002</v>
      </c>
      <c r="F39" s="8">
        <f t="shared" si="0"/>
        <v>15.736039999999999</v>
      </c>
      <c r="K39" s="2">
        <v>-8.4079999999999995</v>
      </c>
      <c r="L39" s="4">
        <v>0.83517200000000003</v>
      </c>
    </row>
    <row r="40" spans="2:12">
      <c r="B40" s="2">
        <v>-8.1522299999999994</v>
      </c>
      <c r="C40" s="4">
        <v>0.52248099999999997</v>
      </c>
      <c r="D40" s="2">
        <v>-19.883099999999999</v>
      </c>
      <c r="E40" s="4">
        <v>0.32643699999999998</v>
      </c>
      <c r="F40" s="8">
        <f t="shared" si="0"/>
        <v>11.730869999999999</v>
      </c>
      <c r="K40" s="2">
        <v>-7.5369999999999999</v>
      </c>
      <c r="L40" s="4">
        <v>0.85931000000000002</v>
      </c>
    </row>
    <row r="41" spans="2:12">
      <c r="B41" s="2">
        <v>-6.4489700000000001</v>
      </c>
      <c r="C41" s="4">
        <v>0.54005400000000003</v>
      </c>
      <c r="D41" s="2">
        <v>-19.593399999999999</v>
      </c>
      <c r="E41" s="4">
        <v>0.33727600000000002</v>
      </c>
      <c r="F41" s="8">
        <f t="shared" si="0"/>
        <v>13.14443</v>
      </c>
      <c r="K41" s="2">
        <v>-6.9170100000000003</v>
      </c>
      <c r="L41" s="4">
        <v>0.86896600000000002</v>
      </c>
    </row>
    <row r="42" spans="2:12">
      <c r="B42" s="2">
        <v>-7.5114099999999997</v>
      </c>
      <c r="C42" s="4">
        <v>0.54713299999999998</v>
      </c>
      <c r="D42" s="2">
        <v>-21.773299999999999</v>
      </c>
      <c r="E42" s="4">
        <v>0.344335</v>
      </c>
      <c r="F42" s="8">
        <f t="shared" si="0"/>
        <v>14.261889999999999</v>
      </c>
      <c r="K42" s="2">
        <v>-8.6586800000000004</v>
      </c>
      <c r="L42" s="4">
        <v>0.87379300000000004</v>
      </c>
    </row>
    <row r="43" spans="2:12">
      <c r="B43" s="2">
        <v>-7.3549100000000003</v>
      </c>
      <c r="C43" s="4">
        <v>0.57938000000000001</v>
      </c>
      <c r="D43" s="2">
        <v>-19.3614</v>
      </c>
      <c r="E43" s="4">
        <v>0.35879800000000001</v>
      </c>
      <c r="F43" s="8">
        <f t="shared" si="0"/>
        <v>12.006489999999999</v>
      </c>
      <c r="K43" s="2">
        <v>-8.7469999999999999</v>
      </c>
      <c r="L43" s="4">
        <v>0.91241399999999995</v>
      </c>
    </row>
    <row r="44" spans="2:12">
      <c r="B44" s="2">
        <v>-8.8704800000000006</v>
      </c>
      <c r="C44" s="4">
        <v>0.58605499999999999</v>
      </c>
      <c r="D44" s="2">
        <v>-23.0459</v>
      </c>
      <c r="E44" s="4">
        <v>0.37321799999999999</v>
      </c>
      <c r="F44" s="8">
        <f t="shared" si="0"/>
        <v>14.175419999999999</v>
      </c>
      <c r="K44" s="2">
        <v>-7.6396499999999996</v>
      </c>
      <c r="L44" s="4">
        <v>0.96551699999999996</v>
      </c>
    </row>
    <row r="45" spans="2:12">
      <c r="B45" s="2">
        <v>-8.0577699999999997</v>
      </c>
      <c r="C45" s="4">
        <v>0.61353500000000005</v>
      </c>
      <c r="D45" s="2">
        <v>-24.396000000000001</v>
      </c>
      <c r="E45" s="4">
        <v>0.38868000000000003</v>
      </c>
      <c r="F45" s="8">
        <f t="shared" si="0"/>
        <v>16.338230000000003</v>
      </c>
      <c r="K45" s="2">
        <v>-8.5842700000000001</v>
      </c>
      <c r="L45" s="4">
        <v>0.97034500000000001</v>
      </c>
    </row>
    <row r="46" spans="2:12">
      <c r="B46" s="2">
        <v>-7.3077199999999998</v>
      </c>
      <c r="C46" s="4">
        <v>0.619556</v>
      </c>
      <c r="D46" s="2">
        <v>-21.674900000000001</v>
      </c>
      <c r="E46" s="4">
        <v>0.42470000000000002</v>
      </c>
      <c r="F46" s="8">
        <f t="shared" si="0"/>
        <v>14.367180000000001</v>
      </c>
      <c r="K46" s="2">
        <v>-8.0527800000000003</v>
      </c>
      <c r="L46" s="4">
        <v>0.98965499999999995</v>
      </c>
    </row>
    <row r="47" spans="2:12">
      <c r="B47" s="2">
        <v>-8.9482499999999998</v>
      </c>
      <c r="C47" s="4">
        <v>0.63146999999999998</v>
      </c>
      <c r="D47" s="2">
        <v>-23.0059</v>
      </c>
      <c r="E47" s="4">
        <v>0.43213800000000002</v>
      </c>
      <c r="F47" s="8">
        <f t="shared" si="0"/>
        <v>14.057650000000001</v>
      </c>
      <c r="K47" s="2">
        <v>-8.2150800000000004</v>
      </c>
      <c r="L47" s="4">
        <v>0.99931000000000003</v>
      </c>
    </row>
    <row r="48" spans="2:12">
      <c r="B48" s="2">
        <v>-6.5105300000000002</v>
      </c>
      <c r="C48" s="4">
        <v>0.66039999999999999</v>
      </c>
      <c r="D48" s="2">
        <v>-23.796700000000001</v>
      </c>
      <c r="E48" s="4">
        <v>0.43981799999999999</v>
      </c>
      <c r="F48" s="8">
        <f t="shared" si="0"/>
        <v>17.286170000000002</v>
      </c>
      <c r="K48" s="2">
        <v>-8.0525099999999998</v>
      </c>
      <c r="L48" s="4">
        <v>1.0330999999999999</v>
      </c>
    </row>
    <row r="49" spans="2:12">
      <c r="B49" s="2">
        <v>-8.1041799999999995</v>
      </c>
      <c r="C49" s="4">
        <v>0.67235699999999998</v>
      </c>
      <c r="D49" s="2">
        <v>-24.201799999999999</v>
      </c>
      <c r="E49" s="4">
        <v>0.44231399999999998</v>
      </c>
      <c r="F49" s="8">
        <f t="shared" si="0"/>
        <v>16.097619999999999</v>
      </c>
      <c r="K49" s="2">
        <v>-7.28498</v>
      </c>
      <c r="L49" s="4">
        <v>1.0330999999999999</v>
      </c>
    </row>
    <row r="50" spans="2:12">
      <c r="B50" s="2">
        <v>-6.3070899999999996</v>
      </c>
      <c r="C50" s="4">
        <v>0.70071600000000001</v>
      </c>
      <c r="D50" s="2">
        <v>-22.677299999999999</v>
      </c>
      <c r="E50" s="4">
        <v>0.45905899999999999</v>
      </c>
      <c r="F50" s="8">
        <f t="shared" si="0"/>
        <v>16.37021</v>
      </c>
      <c r="K50" s="2">
        <v>-6.8272300000000001</v>
      </c>
      <c r="L50" s="4">
        <v>1.0620700000000001</v>
      </c>
    </row>
    <row r="51" spans="2:12">
      <c r="B51" s="2">
        <v>-8.3068899999999992</v>
      </c>
      <c r="C51" s="4">
        <v>0.725688</v>
      </c>
      <c r="D51" s="2">
        <v>-22.271799999999999</v>
      </c>
      <c r="E51" s="4">
        <v>0.47262700000000002</v>
      </c>
      <c r="F51" s="8">
        <f t="shared" si="0"/>
        <v>13.96491</v>
      </c>
      <c r="K51" s="2">
        <v>-6.5318699999999996</v>
      </c>
      <c r="L51" s="4">
        <v>1.0862099999999999</v>
      </c>
    </row>
    <row r="52" spans="2:12">
      <c r="B52" s="2">
        <v>-7.4473200000000004</v>
      </c>
      <c r="C52" s="4">
        <v>0.75053499999999995</v>
      </c>
      <c r="D52" s="2">
        <v>-23.969100000000001</v>
      </c>
      <c r="E52" s="4">
        <v>0.49061100000000002</v>
      </c>
      <c r="F52" s="8">
        <f t="shared" si="0"/>
        <v>16.52178</v>
      </c>
      <c r="K52" s="2">
        <v>-7.3583499999999997</v>
      </c>
      <c r="L52" s="4">
        <v>1.1006899999999999</v>
      </c>
    </row>
    <row r="53" spans="2:12">
      <c r="B53" s="2">
        <v>-7.5720700000000001</v>
      </c>
      <c r="C53" s="4">
        <v>0.78253099999999998</v>
      </c>
      <c r="D53" s="2">
        <v>-18.142499999999998</v>
      </c>
      <c r="E53" s="4">
        <v>0.50124299999999999</v>
      </c>
      <c r="F53" s="8">
        <f t="shared" si="0"/>
        <v>10.570429999999998</v>
      </c>
      <c r="K53" s="2">
        <v>-7.4911000000000003</v>
      </c>
      <c r="L53" s="4">
        <v>1.11517</v>
      </c>
    </row>
    <row r="54" spans="2:12">
      <c r="B54" s="2">
        <v>-8.6658100000000005</v>
      </c>
      <c r="C54" s="4">
        <v>0.78423100000000001</v>
      </c>
      <c r="D54" s="2">
        <v>-20.071400000000001</v>
      </c>
      <c r="E54" s="4">
        <v>0.51644599999999996</v>
      </c>
      <c r="F54" s="8">
        <f t="shared" si="0"/>
        <v>11.40559</v>
      </c>
      <c r="K54" s="2">
        <v>-6.7382099999999996</v>
      </c>
      <c r="L54" s="4">
        <v>1.1344799999999999</v>
      </c>
    </row>
    <row r="55" spans="2:12">
      <c r="B55" s="2">
        <v>-8.4780800000000003</v>
      </c>
      <c r="C55" s="4">
        <v>0.81383000000000005</v>
      </c>
      <c r="D55" s="2">
        <v>-23.5825</v>
      </c>
      <c r="E55" s="4">
        <v>0.52291200000000004</v>
      </c>
      <c r="F55" s="8">
        <f t="shared" si="0"/>
        <v>15.104419999999999</v>
      </c>
      <c r="K55" s="2">
        <v>-7.2397200000000002</v>
      </c>
      <c r="L55" s="4">
        <v>1.1875899999999999</v>
      </c>
    </row>
    <row r="56" spans="2:12">
      <c r="B56" s="2">
        <v>-9.0716000000000001</v>
      </c>
      <c r="C56" s="4">
        <v>0.84273200000000004</v>
      </c>
      <c r="D56" s="2">
        <v>-23.890899999999998</v>
      </c>
      <c r="E56" s="4">
        <v>0.536161</v>
      </c>
      <c r="F56" s="8">
        <f t="shared" si="0"/>
        <v>14.819299999999998</v>
      </c>
      <c r="K56" s="2">
        <v>-6.44252</v>
      </c>
      <c r="L56" s="4">
        <v>1.2117199999999999</v>
      </c>
    </row>
    <row r="57" spans="2:12">
      <c r="B57" s="2">
        <v>-9.6337299999999999</v>
      </c>
      <c r="C57" s="4">
        <v>0.89039100000000004</v>
      </c>
      <c r="D57" s="2">
        <v>-23.5625</v>
      </c>
      <c r="E57" s="4">
        <v>0.55237199999999997</v>
      </c>
      <c r="F57" s="8">
        <f t="shared" si="0"/>
        <v>13.92877</v>
      </c>
      <c r="K57" s="2">
        <v>-7.6970099999999997</v>
      </c>
      <c r="L57" s="4">
        <v>1.2310300000000001</v>
      </c>
    </row>
    <row r="58" spans="2:12">
      <c r="B58" s="2">
        <v>-8.8210599999999992</v>
      </c>
      <c r="C58" s="4">
        <v>0.91252</v>
      </c>
      <c r="D58" s="2">
        <v>-20.7455</v>
      </c>
      <c r="E58" s="4">
        <v>0.56433800000000001</v>
      </c>
      <c r="F58" s="8">
        <f t="shared" si="0"/>
        <v>11.924440000000001</v>
      </c>
      <c r="K58" s="2">
        <v>-7.5197000000000003</v>
      </c>
      <c r="L58" s="4">
        <v>1.26</v>
      </c>
    </row>
    <row r="59" spans="2:12">
      <c r="B59" s="2">
        <v>-7.47722</v>
      </c>
      <c r="C59" s="4">
        <v>0.92442100000000005</v>
      </c>
      <c r="D59" s="2">
        <v>-21.652200000000001</v>
      </c>
      <c r="E59" s="4">
        <v>0.56661099999999998</v>
      </c>
      <c r="F59" s="8">
        <f t="shared" si="0"/>
        <v>14.174980000000001</v>
      </c>
      <c r="K59" s="2">
        <v>-8.5527599999999993</v>
      </c>
      <c r="L59" s="4">
        <v>1.2841400000000001</v>
      </c>
    </row>
    <row r="60" spans="2:12">
      <c r="B60" s="2">
        <v>-8.4770599999999998</v>
      </c>
      <c r="C60" s="4">
        <v>0.94493400000000005</v>
      </c>
      <c r="D60" s="2">
        <v>-21.034500000000001</v>
      </c>
      <c r="E60" s="4">
        <v>0.58027399999999996</v>
      </c>
      <c r="F60" s="8">
        <f t="shared" si="0"/>
        <v>12.557440000000001</v>
      </c>
      <c r="K60" s="2">
        <v>-8.3901299999999992</v>
      </c>
      <c r="L60" s="4">
        <v>1.32759</v>
      </c>
    </row>
    <row r="61" spans="2:12">
      <c r="B61" s="2">
        <v>-7.4458000000000002</v>
      </c>
      <c r="C61" s="4">
        <v>0.94585399999999997</v>
      </c>
      <c r="D61" s="2">
        <v>-19.645399999999999</v>
      </c>
      <c r="E61" s="4">
        <v>0.58357099999999995</v>
      </c>
      <c r="F61" s="8">
        <f t="shared" si="0"/>
        <v>12.199599999999998</v>
      </c>
      <c r="K61" s="2">
        <v>-7.97675</v>
      </c>
      <c r="L61" s="4">
        <v>1.3420700000000001</v>
      </c>
    </row>
    <row r="62" spans="2:12">
      <c r="B62" s="2">
        <v>-7.99247</v>
      </c>
      <c r="C62" s="4">
        <v>0.97212200000000004</v>
      </c>
      <c r="D62" s="2">
        <v>-19.220700000000001</v>
      </c>
      <c r="E62" s="4">
        <v>0.59179300000000001</v>
      </c>
      <c r="F62" s="8">
        <f t="shared" si="0"/>
        <v>11.22823</v>
      </c>
      <c r="K62" s="2">
        <v>-8.0947099999999992</v>
      </c>
      <c r="L62" s="4">
        <v>1.36138</v>
      </c>
    </row>
    <row r="63" spans="2:12">
      <c r="B63" s="2">
        <v>-8.3048000000000002</v>
      </c>
      <c r="C63" s="4">
        <v>0.99324800000000002</v>
      </c>
      <c r="D63" s="2">
        <v>-21.4392</v>
      </c>
      <c r="E63" s="4">
        <v>0.59883500000000001</v>
      </c>
      <c r="F63" s="8">
        <f t="shared" si="0"/>
        <v>13.134399999999999</v>
      </c>
      <c r="K63" s="2">
        <v>-8.80307</v>
      </c>
      <c r="L63" s="4">
        <v>1.38069</v>
      </c>
    </row>
    <row r="64" spans="2:12">
      <c r="B64" s="2">
        <v>-9.1328300000000002</v>
      </c>
      <c r="C64" s="4">
        <v>1.00589</v>
      </c>
      <c r="D64" s="2">
        <v>-23.194800000000001</v>
      </c>
      <c r="E64" s="4">
        <v>0.60072899999999996</v>
      </c>
      <c r="F64" s="8">
        <f t="shared" si="0"/>
        <v>14.061970000000001</v>
      </c>
      <c r="K64" s="2">
        <v>-8.1681699999999999</v>
      </c>
      <c r="L64" s="4">
        <v>1.41448</v>
      </c>
    </row>
    <row r="65" spans="2:12">
      <c r="B65" s="2">
        <v>-5.6483499999999998</v>
      </c>
      <c r="C65" s="4">
        <v>1.0197000000000001</v>
      </c>
      <c r="D65" s="2">
        <v>-22.3843</v>
      </c>
      <c r="E65" s="4">
        <v>0.60912299999999997</v>
      </c>
      <c r="F65" s="8">
        <f t="shared" si="0"/>
        <v>16.735949999999999</v>
      </c>
      <c r="K65" s="2">
        <v>-8.4927399999999995</v>
      </c>
      <c r="L65" s="4">
        <v>1.43862</v>
      </c>
    </row>
    <row r="66" spans="2:12">
      <c r="B66" s="2">
        <v>-8.3045500000000008</v>
      </c>
      <c r="C66" s="4">
        <v>1.02536</v>
      </c>
      <c r="D66" s="2">
        <v>-23.985399999999998</v>
      </c>
      <c r="E66" s="4">
        <v>0.61643999999999999</v>
      </c>
      <c r="F66" s="8">
        <f t="shared" si="0"/>
        <v>15.680849999999998</v>
      </c>
      <c r="K66" s="2">
        <v>-7.7840100000000003</v>
      </c>
      <c r="L66" s="4">
        <v>1.4772400000000001</v>
      </c>
    </row>
    <row r="67" spans="2:12">
      <c r="B67" s="2">
        <v>-8.7106600000000007</v>
      </c>
      <c r="C67" s="4">
        <v>1.04372</v>
      </c>
      <c r="D67" s="2">
        <v>-22.692499999999999</v>
      </c>
      <c r="E67" s="4">
        <v>0.62772700000000003</v>
      </c>
      <c r="F67" s="8">
        <f t="shared" si="0"/>
        <v>13.981839999999998</v>
      </c>
      <c r="K67" s="2">
        <v>-8.7577599999999993</v>
      </c>
      <c r="L67" s="4">
        <v>1.5448299999999999</v>
      </c>
    </row>
    <row r="68" spans="2:12">
      <c r="B68" s="2">
        <v>-7.56996</v>
      </c>
      <c r="C68" s="4">
        <v>1.05277</v>
      </c>
      <c r="D68" s="2">
        <v>-23.232500000000002</v>
      </c>
      <c r="E68" s="4">
        <v>0.63819499999999996</v>
      </c>
      <c r="F68" s="8">
        <f t="shared" si="0"/>
        <v>15.662540000000002</v>
      </c>
      <c r="K68" s="2">
        <v>-8.74254</v>
      </c>
      <c r="L68" s="4">
        <v>1.61724</v>
      </c>
    </row>
    <row r="69" spans="2:12">
      <c r="B69" s="2">
        <v>-6.6478700000000002</v>
      </c>
      <c r="C69" s="4">
        <v>1.0803400000000001</v>
      </c>
      <c r="D69" s="2">
        <v>-24.563500000000001</v>
      </c>
      <c r="E69" s="4">
        <v>0.64295599999999997</v>
      </c>
      <c r="F69" s="8">
        <f t="shared" si="0"/>
        <v>17.91563</v>
      </c>
      <c r="K69" s="2">
        <v>-7.7679999999999998</v>
      </c>
      <c r="L69" s="4">
        <v>1.67517</v>
      </c>
    </row>
    <row r="70" spans="2:12">
      <c r="B70" s="2">
        <v>-7.7728400000000004</v>
      </c>
      <c r="C70" s="4">
        <v>1.0846899999999999</v>
      </c>
      <c r="D70" s="2">
        <v>-24.775500000000001</v>
      </c>
      <c r="E70" s="4">
        <v>0.65357100000000001</v>
      </c>
      <c r="F70" s="8">
        <f t="shared" si="0"/>
        <v>17.002659999999999</v>
      </c>
      <c r="K70" s="2">
        <v>-7.6644399999999999</v>
      </c>
      <c r="L70" s="4">
        <v>1.7137899999999999</v>
      </c>
    </row>
    <row r="71" spans="2:12">
      <c r="B71" s="2">
        <v>-8.6945300000000003</v>
      </c>
      <c r="C71" s="4">
        <v>1.10795</v>
      </c>
      <c r="D71" s="2">
        <v>-22.3249</v>
      </c>
      <c r="E71" s="4">
        <v>0.67072900000000002</v>
      </c>
      <c r="F71" s="8">
        <f t="shared" ref="F71:F134" si="1">B71-D71</f>
        <v>13.630369999999999</v>
      </c>
      <c r="K71" s="2">
        <v>-8.7712599999999998</v>
      </c>
      <c r="L71" s="4">
        <v>1.7427600000000001</v>
      </c>
    </row>
    <row r="72" spans="2:12">
      <c r="B72" s="2">
        <v>-6.7725799999999996</v>
      </c>
      <c r="C72" s="4">
        <v>1.1176900000000001</v>
      </c>
      <c r="D72" s="2">
        <v>-23.984000000000002</v>
      </c>
      <c r="E72" s="4">
        <v>0.67534300000000003</v>
      </c>
      <c r="F72" s="8">
        <f t="shared" si="1"/>
        <v>17.211420000000004</v>
      </c>
      <c r="K72" s="2">
        <v>-7.7968200000000003</v>
      </c>
      <c r="L72" s="4">
        <v>1.7862100000000001</v>
      </c>
    </row>
    <row r="73" spans="2:12">
      <c r="B73" s="2">
        <v>-7.2880599999999998</v>
      </c>
      <c r="C73" s="4">
        <v>1.1359600000000001</v>
      </c>
      <c r="D73" s="2">
        <v>-23.366499999999998</v>
      </c>
      <c r="E73" s="4">
        <v>0.68097300000000005</v>
      </c>
      <c r="F73" s="8">
        <f t="shared" si="1"/>
        <v>16.078440000000001</v>
      </c>
      <c r="K73" s="2">
        <v>-8.62317</v>
      </c>
      <c r="L73" s="4">
        <v>1.82</v>
      </c>
    </row>
    <row r="74" spans="2:12">
      <c r="B74" s="2">
        <v>-8.4910499999999995</v>
      </c>
      <c r="C74" s="4">
        <v>1.1536200000000001</v>
      </c>
      <c r="D74" s="2">
        <v>-21.244</v>
      </c>
      <c r="E74" s="4">
        <v>0.69262999999999997</v>
      </c>
      <c r="F74" s="8">
        <f t="shared" si="1"/>
        <v>12.75295</v>
      </c>
      <c r="K74" s="2">
        <v>-8.1061999999999994</v>
      </c>
      <c r="L74" s="4">
        <v>1.8779300000000001</v>
      </c>
    </row>
    <row r="75" spans="2:12">
      <c r="B75" s="2">
        <v>-7.75657</v>
      </c>
      <c r="C75" s="4">
        <v>1.1676500000000001</v>
      </c>
      <c r="D75" s="2">
        <v>-24.021699999999999</v>
      </c>
      <c r="E75" s="4">
        <v>0.71281000000000005</v>
      </c>
      <c r="F75" s="8">
        <f t="shared" si="1"/>
        <v>16.265129999999999</v>
      </c>
      <c r="K75" s="2">
        <v>-8.3273899999999994</v>
      </c>
      <c r="L75" s="4">
        <v>1.9117200000000001</v>
      </c>
    </row>
    <row r="76" spans="2:12">
      <c r="B76" s="2">
        <v>-8.2408800000000006</v>
      </c>
      <c r="C76" s="4">
        <v>1.1752499999999999</v>
      </c>
      <c r="D76" s="2">
        <v>-23.461300000000001</v>
      </c>
      <c r="E76" s="4">
        <v>0.74786600000000003</v>
      </c>
      <c r="F76" s="8">
        <f t="shared" si="1"/>
        <v>15.220420000000001</v>
      </c>
      <c r="K76" s="2">
        <v>-8.68154</v>
      </c>
      <c r="L76" s="4">
        <v>1.92621</v>
      </c>
    </row>
    <row r="77" spans="2:12">
      <c r="B77" s="2">
        <v>-8.3970099999999999</v>
      </c>
      <c r="C77" s="4">
        <v>1.19116</v>
      </c>
      <c r="D77" s="2">
        <v>-24.6767</v>
      </c>
      <c r="E77" s="4">
        <v>0.75267799999999996</v>
      </c>
      <c r="F77" s="8">
        <f t="shared" si="1"/>
        <v>16.279690000000002</v>
      </c>
      <c r="K77" s="2">
        <v>-8.7403700000000004</v>
      </c>
      <c r="L77" s="4">
        <v>1.96</v>
      </c>
    </row>
    <row r="78" spans="2:12">
      <c r="B78" s="2">
        <v>-6.0375699999999997</v>
      </c>
      <c r="C78" s="4">
        <v>1.19861</v>
      </c>
      <c r="D78" s="2">
        <v>-24.2712</v>
      </c>
      <c r="E78" s="4">
        <v>0.76624599999999998</v>
      </c>
      <c r="F78" s="8">
        <f t="shared" si="1"/>
        <v>18.233630000000002</v>
      </c>
      <c r="K78" s="2">
        <v>-7.3380000000000001</v>
      </c>
      <c r="L78" s="4">
        <v>1.98414</v>
      </c>
    </row>
    <row r="79" spans="2:12">
      <c r="B79" s="2">
        <v>-7.7718600000000002</v>
      </c>
      <c r="C79" s="4">
        <v>1.21045</v>
      </c>
      <c r="D79" s="2">
        <v>-23.229399999999998</v>
      </c>
      <c r="E79" s="4">
        <v>0.76671100000000003</v>
      </c>
      <c r="F79" s="8">
        <f t="shared" si="1"/>
        <v>15.457539999999998</v>
      </c>
      <c r="K79" s="2">
        <v>-8.3858499999999996</v>
      </c>
      <c r="L79" s="4">
        <v>2.00345</v>
      </c>
    </row>
    <row r="80" spans="2:12">
      <c r="B80" s="2">
        <v>-8.1935900000000004</v>
      </c>
      <c r="C80" s="4">
        <v>1.2287999999999999</v>
      </c>
      <c r="D80" s="2">
        <v>-22.7852</v>
      </c>
      <c r="E80" s="4">
        <v>0.78564999999999996</v>
      </c>
      <c r="F80" s="8">
        <f t="shared" si="1"/>
        <v>14.591609999999999</v>
      </c>
      <c r="K80" s="2">
        <v>-8.0901899999999998</v>
      </c>
      <c r="L80" s="4">
        <v>2.07586</v>
      </c>
    </row>
    <row r="81" spans="2:12">
      <c r="B81" s="2">
        <v>-6.5841000000000003</v>
      </c>
      <c r="C81" s="4">
        <v>1.2436100000000001</v>
      </c>
      <c r="D81" s="2">
        <v>-24.1934</v>
      </c>
      <c r="E81" s="4">
        <v>0.79305400000000004</v>
      </c>
      <c r="F81" s="8">
        <f t="shared" si="1"/>
        <v>17.609300000000001</v>
      </c>
      <c r="K81" s="2">
        <v>-7.6619599999999997</v>
      </c>
      <c r="L81" s="4">
        <v>2.1048300000000002</v>
      </c>
    </row>
    <row r="82" spans="2:12">
      <c r="B82" s="2">
        <v>-5.52142</v>
      </c>
      <c r="C82" s="4">
        <v>1.26596</v>
      </c>
      <c r="D82" s="2">
        <v>-24.096599999999999</v>
      </c>
      <c r="E82" s="4">
        <v>0.80380700000000005</v>
      </c>
      <c r="F82" s="8">
        <f t="shared" si="1"/>
        <v>18.57518</v>
      </c>
      <c r="K82" s="2">
        <v>-8.0308100000000007</v>
      </c>
      <c r="L82" s="4">
        <v>2.1289699999999998</v>
      </c>
    </row>
    <row r="83" spans="2:12">
      <c r="B83" s="2">
        <v>-6.7401</v>
      </c>
      <c r="C83" s="4">
        <v>1.2755799999999999</v>
      </c>
      <c r="D83" s="2">
        <v>-23.710599999999999</v>
      </c>
      <c r="E83" s="4">
        <v>0.81201100000000004</v>
      </c>
      <c r="F83" s="8">
        <f t="shared" si="1"/>
        <v>16.970500000000001</v>
      </c>
      <c r="K83" s="2">
        <v>-6.8793100000000003</v>
      </c>
      <c r="L83" s="4">
        <v>2.16276</v>
      </c>
    </row>
    <row r="84" spans="2:12">
      <c r="B84" s="2">
        <v>-9.3337400000000006</v>
      </c>
      <c r="C84" s="4">
        <v>1.28932</v>
      </c>
      <c r="D84" s="2">
        <v>-22.012799999999999</v>
      </c>
      <c r="E84" s="4">
        <v>0.815446</v>
      </c>
      <c r="F84" s="8">
        <f t="shared" si="1"/>
        <v>12.679059999999998</v>
      </c>
      <c r="K84" s="2">
        <v>-7.6908399999999997</v>
      </c>
      <c r="L84" s="4">
        <v>2.20621</v>
      </c>
    </row>
    <row r="85" spans="2:12">
      <c r="B85" s="2">
        <v>-6.9273499999999997</v>
      </c>
      <c r="C85" s="4">
        <v>1.30752</v>
      </c>
      <c r="D85" s="2">
        <v>-21.6265</v>
      </c>
      <c r="E85" s="4">
        <v>0.83435999999999999</v>
      </c>
      <c r="F85" s="8">
        <f t="shared" si="1"/>
        <v>14.699149999999999</v>
      </c>
      <c r="K85" s="2">
        <v>-7.1149800000000001</v>
      </c>
      <c r="L85" s="4">
        <v>2.2400000000000002</v>
      </c>
    </row>
    <row r="86" spans="2:12">
      <c r="B86" s="2">
        <v>-6.4115500000000001</v>
      </c>
      <c r="C86" s="4">
        <v>1.32938</v>
      </c>
      <c r="D86" s="2">
        <v>-22.919</v>
      </c>
      <c r="E86" s="4">
        <v>0.83646100000000001</v>
      </c>
      <c r="F86" s="8">
        <f t="shared" si="1"/>
        <v>16.507449999999999</v>
      </c>
      <c r="K86" s="2">
        <v>-6.53918</v>
      </c>
      <c r="L86" s="4">
        <v>2.2641399999999998</v>
      </c>
    </row>
    <row r="87" spans="2:12">
      <c r="B87" s="2">
        <v>-7.8801399999999999</v>
      </c>
      <c r="C87" s="4">
        <v>1.34948</v>
      </c>
      <c r="D87" s="2">
        <v>-23.6907</v>
      </c>
      <c r="E87" s="4">
        <v>0.83879400000000004</v>
      </c>
      <c r="F87" s="8">
        <f t="shared" si="1"/>
        <v>15.810559999999999</v>
      </c>
      <c r="K87" s="2">
        <v>-7.0112899999999998</v>
      </c>
      <c r="L87" s="4">
        <v>2.29793</v>
      </c>
    </row>
    <row r="88" spans="2:12">
      <c r="B88" s="2">
        <v>-6.7706600000000003</v>
      </c>
      <c r="C88" s="4">
        <v>1.36385</v>
      </c>
      <c r="D88" s="2">
        <v>-21.78</v>
      </c>
      <c r="E88" s="4">
        <v>0.86641999999999997</v>
      </c>
      <c r="F88" s="8">
        <f t="shared" si="1"/>
        <v>15.009340000000002</v>
      </c>
      <c r="K88" s="2">
        <v>-7.51302</v>
      </c>
      <c r="L88" s="4">
        <v>2.31724</v>
      </c>
    </row>
    <row r="89" spans="2:12">
      <c r="B89" s="2">
        <v>-8.1298999999999992</v>
      </c>
      <c r="C89" s="4">
        <v>1.3813599999999999</v>
      </c>
      <c r="D89" s="2">
        <v>-22.706</v>
      </c>
      <c r="E89" s="4">
        <v>0.86868400000000001</v>
      </c>
      <c r="F89" s="8">
        <f t="shared" si="1"/>
        <v>14.5761</v>
      </c>
      <c r="K89" s="2">
        <v>-7.4094199999999999</v>
      </c>
      <c r="L89" s="4">
        <v>2.36069</v>
      </c>
    </row>
    <row r="90" spans="2:12">
      <c r="B90" s="2">
        <v>-7.0827999999999998</v>
      </c>
      <c r="C90" s="4">
        <v>1.4090499999999999</v>
      </c>
      <c r="D90" s="2">
        <v>-23.419699999999999</v>
      </c>
      <c r="E90" s="4">
        <v>0.87372099999999997</v>
      </c>
      <c r="F90" s="8">
        <f t="shared" si="1"/>
        <v>16.3369</v>
      </c>
      <c r="K90" s="2">
        <v>-8.1472800000000003</v>
      </c>
      <c r="L90" s="4">
        <v>2.38483</v>
      </c>
    </row>
    <row r="91" spans="2:12">
      <c r="B91" s="2">
        <v>-8.4733599999999996</v>
      </c>
      <c r="C91" s="4">
        <v>1.41852</v>
      </c>
      <c r="D91" s="2">
        <v>-23.7089</v>
      </c>
      <c r="E91" s="4">
        <v>0.88162399999999996</v>
      </c>
      <c r="F91" s="8">
        <f t="shared" si="1"/>
        <v>15.23554</v>
      </c>
      <c r="K91" s="2">
        <v>-6.33169</v>
      </c>
      <c r="L91" s="4">
        <v>2.3993099999999998</v>
      </c>
    </row>
    <row r="92" spans="2:12">
      <c r="B92" s="2">
        <v>-7.7543899999999999</v>
      </c>
      <c r="C92" s="4">
        <v>1.44591</v>
      </c>
      <c r="D92" s="2">
        <v>-22.840399999999999</v>
      </c>
      <c r="E92" s="4">
        <v>0.89539800000000003</v>
      </c>
      <c r="F92" s="8">
        <f t="shared" si="1"/>
        <v>15.086009999999998</v>
      </c>
      <c r="K92" s="2">
        <v>-7.1876499999999997</v>
      </c>
      <c r="L92" s="4">
        <v>2.4186200000000002</v>
      </c>
    </row>
    <row r="93" spans="2:12">
      <c r="B93" s="2">
        <v>-8.53538</v>
      </c>
      <c r="C93" s="4">
        <v>1.48</v>
      </c>
      <c r="D93" s="2">
        <v>-24.190799999999999</v>
      </c>
      <c r="E93" s="4">
        <v>0.90015000000000001</v>
      </c>
      <c r="F93" s="8">
        <f t="shared" si="1"/>
        <v>15.655419999999999</v>
      </c>
      <c r="K93" s="2">
        <v>-7.7188999999999997</v>
      </c>
      <c r="L93" s="4">
        <v>2.4379300000000002</v>
      </c>
    </row>
    <row r="94" spans="2:12">
      <c r="B94" s="2">
        <v>-8.4102700000000006</v>
      </c>
      <c r="C94" s="4">
        <v>1.49349</v>
      </c>
      <c r="D94" s="2">
        <v>-24.769400000000001</v>
      </c>
      <c r="E94" s="4">
        <v>0.90792399999999995</v>
      </c>
      <c r="F94" s="8">
        <f t="shared" si="1"/>
        <v>16.35913</v>
      </c>
      <c r="K94" s="2">
        <v>-6.2722499999999997</v>
      </c>
      <c r="L94" s="4">
        <v>2.4620700000000002</v>
      </c>
    </row>
    <row r="95" spans="2:12">
      <c r="B95" s="2">
        <v>-8.6913999999999998</v>
      </c>
      <c r="C95" s="4">
        <v>1.50929</v>
      </c>
      <c r="D95" s="2">
        <v>-23.456900000000001</v>
      </c>
      <c r="E95" s="4">
        <v>0.93260600000000005</v>
      </c>
      <c r="F95" s="8">
        <f t="shared" si="1"/>
        <v>14.765500000000001</v>
      </c>
      <c r="K95" s="2">
        <v>-5.81447</v>
      </c>
      <c r="L95" s="4">
        <v>2.49586</v>
      </c>
    </row>
    <row r="96" spans="2:12">
      <c r="B96" s="2">
        <v>-7.4568199999999996</v>
      </c>
      <c r="C96" s="4">
        <v>1.53447</v>
      </c>
      <c r="D96" s="2">
        <v>-23.1675</v>
      </c>
      <c r="E96" s="4">
        <v>0.93273600000000001</v>
      </c>
      <c r="F96" s="8">
        <f t="shared" si="1"/>
        <v>15.71068</v>
      </c>
      <c r="K96" s="2">
        <v>-7.0837199999999996</v>
      </c>
      <c r="L96" s="4">
        <v>2.5151699999999999</v>
      </c>
    </row>
    <row r="97" spans="2:12">
      <c r="B97" s="2">
        <v>-7.5973300000000004</v>
      </c>
      <c r="C97" s="4">
        <v>1.5504</v>
      </c>
      <c r="D97" s="2">
        <v>-24.151399999999999</v>
      </c>
      <c r="E97" s="4">
        <v>0.93497399999999997</v>
      </c>
      <c r="F97" s="8">
        <f t="shared" si="1"/>
        <v>16.554069999999999</v>
      </c>
      <c r="K97" s="2">
        <v>-7.2163199999999996</v>
      </c>
      <c r="L97" s="4">
        <v>2.5537899999999998</v>
      </c>
    </row>
    <row r="98" spans="2:12">
      <c r="B98" s="2">
        <v>-7.5190099999999997</v>
      </c>
      <c r="C98" s="4">
        <v>1.5745499999999999</v>
      </c>
      <c r="D98" s="2">
        <v>-22.82</v>
      </c>
      <c r="E98" s="4">
        <v>0.94092299999999995</v>
      </c>
      <c r="F98" s="8">
        <f t="shared" si="1"/>
        <v>15.300990000000001</v>
      </c>
      <c r="K98" s="2">
        <v>-5.9172099999999999</v>
      </c>
      <c r="L98" s="4">
        <v>2.5875900000000001</v>
      </c>
    </row>
    <row r="99" spans="2:12">
      <c r="B99" s="2">
        <v>-8.5968900000000001</v>
      </c>
      <c r="C99" s="4">
        <v>1.6056999999999999</v>
      </c>
      <c r="D99" s="2">
        <v>-19.173400000000001</v>
      </c>
      <c r="E99" s="4">
        <v>0.95325899999999997</v>
      </c>
      <c r="F99" s="8">
        <f t="shared" si="1"/>
        <v>10.576510000000001</v>
      </c>
      <c r="K99" s="2">
        <v>-6.7287400000000002</v>
      </c>
      <c r="L99" s="4">
        <v>2.63103</v>
      </c>
    </row>
    <row r="100" spans="2:12">
      <c r="B100" s="2">
        <v>-7.7060700000000004</v>
      </c>
      <c r="C100" s="4">
        <v>1.6305700000000001</v>
      </c>
      <c r="D100" s="2">
        <v>-22.954599999999999</v>
      </c>
      <c r="E100" s="4">
        <v>0.96228199999999997</v>
      </c>
      <c r="F100" s="8">
        <f t="shared" si="1"/>
        <v>15.248529999999999</v>
      </c>
      <c r="K100" s="2">
        <v>-5.9906100000000002</v>
      </c>
      <c r="L100" s="4">
        <v>2.6503399999999999</v>
      </c>
    </row>
    <row r="101" spans="2:12">
      <c r="B101" s="2">
        <v>-8.0966199999999997</v>
      </c>
      <c r="C101" s="4">
        <v>1.64093</v>
      </c>
      <c r="D101" s="2">
        <v>-22.414100000000001</v>
      </c>
      <c r="E101" s="4">
        <v>0.97323199999999999</v>
      </c>
      <c r="F101" s="8">
        <f t="shared" si="1"/>
        <v>14.317480000000002</v>
      </c>
      <c r="K101" s="2">
        <v>-5.5624200000000004</v>
      </c>
      <c r="L101" s="4">
        <v>2.67448</v>
      </c>
    </row>
    <row r="102" spans="2:12">
      <c r="B102" s="2">
        <v>-7.0651099999999998</v>
      </c>
      <c r="C102" s="4">
        <v>1.67395</v>
      </c>
      <c r="D102" s="2">
        <v>-20.677700000000002</v>
      </c>
      <c r="E102" s="4">
        <v>0.97668500000000003</v>
      </c>
      <c r="F102" s="8">
        <f t="shared" si="1"/>
        <v>13.612590000000001</v>
      </c>
      <c r="K102" s="2">
        <v>-7.4072800000000001</v>
      </c>
      <c r="L102" s="4">
        <v>2.69862</v>
      </c>
    </row>
    <row r="103" spans="2:12">
      <c r="B103" s="2">
        <v>-7.0804600000000004</v>
      </c>
      <c r="C103" s="4">
        <v>1.70872</v>
      </c>
      <c r="D103" s="2">
        <v>-23.378399999999999</v>
      </c>
      <c r="E103" s="4">
        <v>0.98886600000000002</v>
      </c>
      <c r="F103" s="8">
        <f t="shared" si="1"/>
        <v>16.297939999999997</v>
      </c>
      <c r="K103" s="2">
        <v>-4.8685099999999997</v>
      </c>
      <c r="L103" s="4">
        <v>2.7034500000000001</v>
      </c>
    </row>
    <row r="104" spans="2:12">
      <c r="B104" s="2">
        <v>-7.2832999999999997</v>
      </c>
      <c r="C104" s="4">
        <v>1.746</v>
      </c>
      <c r="D104" s="2">
        <v>-20.715800000000002</v>
      </c>
      <c r="E104" s="4">
        <v>0.99808699999999995</v>
      </c>
      <c r="F104" s="8">
        <f t="shared" si="1"/>
        <v>13.432500000000001</v>
      </c>
      <c r="K104" s="2">
        <v>-3.7170000000000001</v>
      </c>
      <c r="L104" s="4">
        <v>2.7372399999999999</v>
      </c>
    </row>
    <row r="105" spans="2:12">
      <c r="B105" s="2">
        <v>-7.1269400000000003</v>
      </c>
      <c r="C105" s="4">
        <v>1.75952</v>
      </c>
      <c r="D105" s="2">
        <v>-22.8765</v>
      </c>
      <c r="E105" s="4">
        <v>0.99980000000000002</v>
      </c>
      <c r="F105" s="8">
        <f t="shared" si="1"/>
        <v>15.749559999999999</v>
      </c>
      <c r="K105" s="2">
        <v>-5.2962499999999997</v>
      </c>
      <c r="L105" s="4">
        <v>2.7517200000000002</v>
      </c>
    </row>
    <row r="106" spans="2:12">
      <c r="B106" s="2">
        <v>-7.3922999999999996</v>
      </c>
      <c r="C106" s="4">
        <v>1.79406</v>
      </c>
      <c r="D106" s="2">
        <v>-18.7087</v>
      </c>
      <c r="E106" s="4">
        <v>1.02308</v>
      </c>
      <c r="F106" s="8">
        <f t="shared" si="1"/>
        <v>11.316400000000002</v>
      </c>
      <c r="K106" s="2">
        <v>-6.2850799999999998</v>
      </c>
      <c r="L106" s="4">
        <v>2.7662100000000001</v>
      </c>
    </row>
    <row r="107" spans="2:12">
      <c r="B107" s="2">
        <v>-8.5172000000000008</v>
      </c>
      <c r="C107" s="4">
        <v>1.80644</v>
      </c>
      <c r="D107" s="2">
        <v>-22.084900000000001</v>
      </c>
      <c r="E107" s="4">
        <v>1.0242500000000001</v>
      </c>
      <c r="F107" s="8">
        <f t="shared" si="1"/>
        <v>13.5677</v>
      </c>
      <c r="K107" s="2">
        <v>-6.4028600000000004</v>
      </c>
      <c r="L107" s="4">
        <v>2.8144800000000001</v>
      </c>
    </row>
    <row r="108" spans="2:12">
      <c r="B108" s="2">
        <v>-7.9388800000000002</v>
      </c>
      <c r="C108" s="4">
        <v>1.8310299999999999</v>
      </c>
      <c r="D108" s="2">
        <v>-20.7149</v>
      </c>
      <c r="E108" s="4">
        <v>1.0328900000000001</v>
      </c>
      <c r="F108" s="8">
        <f t="shared" si="1"/>
        <v>12.776019999999999</v>
      </c>
      <c r="K108" s="2">
        <v>-3.53918</v>
      </c>
      <c r="L108" s="4">
        <v>2.8482799999999999</v>
      </c>
    </row>
    <row r="109" spans="2:12">
      <c r="B109" s="2">
        <v>-9.5321599999999993</v>
      </c>
      <c r="C109" s="4">
        <v>1.8911500000000001</v>
      </c>
      <c r="D109" s="2">
        <v>-22.971699999999998</v>
      </c>
      <c r="E109" s="4">
        <v>1.05063</v>
      </c>
      <c r="F109" s="8">
        <f t="shared" si="1"/>
        <v>13.439539999999999</v>
      </c>
      <c r="K109" s="2">
        <v>-6.5352399999999999</v>
      </c>
      <c r="L109" s="4">
        <v>2.8868999999999998</v>
      </c>
    </row>
    <row r="110" spans="2:12">
      <c r="B110" s="2">
        <v>-7.6882299999999999</v>
      </c>
      <c r="C110" s="4">
        <v>1.9141999999999999</v>
      </c>
      <c r="D110" s="2">
        <v>-21.8719</v>
      </c>
      <c r="E110" s="4">
        <v>1.05647</v>
      </c>
      <c r="F110" s="8">
        <f t="shared" si="1"/>
        <v>14.183669999999999</v>
      </c>
      <c r="K110" s="2">
        <v>-4.0701200000000002</v>
      </c>
      <c r="L110" s="4">
        <v>2.9158599999999999</v>
      </c>
    </row>
    <row r="111" spans="2:12">
      <c r="B111" s="2">
        <v>-7.2973100000000004</v>
      </c>
      <c r="C111" s="4">
        <v>1.95201</v>
      </c>
      <c r="D111" s="2">
        <v>-22.4697</v>
      </c>
      <c r="E111" s="4">
        <v>1.0669200000000001</v>
      </c>
      <c r="F111" s="8">
        <f t="shared" si="1"/>
        <v>15.17239</v>
      </c>
      <c r="K111" s="2">
        <v>-5.8559099999999997</v>
      </c>
      <c r="L111" s="4">
        <v>2.9448300000000001</v>
      </c>
    </row>
    <row r="112" spans="2:12">
      <c r="B112" s="2">
        <v>-7.0157299999999996</v>
      </c>
      <c r="C112" s="4">
        <v>1.9950699999999999</v>
      </c>
      <c r="D112" s="2">
        <v>-23.009699999999999</v>
      </c>
      <c r="E112" s="4">
        <v>1.07738</v>
      </c>
      <c r="F112" s="8">
        <f t="shared" si="1"/>
        <v>15.993969999999999</v>
      </c>
      <c r="K112" s="2">
        <v>-6.1804800000000002</v>
      </c>
      <c r="L112" s="4">
        <v>2.9689700000000001</v>
      </c>
    </row>
    <row r="113" spans="2:12">
      <c r="B113" s="2">
        <v>-8.0621100000000006</v>
      </c>
      <c r="C113" s="4">
        <v>2.0583499999999999</v>
      </c>
      <c r="D113" s="2">
        <v>-20.8871</v>
      </c>
      <c r="E113" s="4">
        <v>1.09172</v>
      </c>
      <c r="F113" s="8">
        <f t="shared" si="1"/>
        <v>12.82499</v>
      </c>
      <c r="K113" s="2">
        <v>-5.4422899999999998</v>
      </c>
      <c r="L113" s="4">
        <v>2.9979300000000002</v>
      </c>
    </row>
    <row r="114" spans="2:12">
      <c r="B114" s="2">
        <v>-7.0306199999999999</v>
      </c>
      <c r="C114" s="4">
        <v>2.0886999999999998</v>
      </c>
      <c r="D114" s="2">
        <v>-20.057500000000001</v>
      </c>
      <c r="E114" s="4">
        <v>1.09477</v>
      </c>
      <c r="F114" s="8">
        <f t="shared" si="1"/>
        <v>13.026880000000002</v>
      </c>
      <c r="K114" s="2">
        <v>-6.29826</v>
      </c>
      <c r="L114" s="4">
        <v>3.0172400000000001</v>
      </c>
    </row>
    <row r="115" spans="2:12">
      <c r="B115" s="2">
        <v>-7.9832700000000001</v>
      </c>
      <c r="C115" s="4">
        <v>2.1493899999999999</v>
      </c>
      <c r="D115" s="2">
        <v>-23.124500000000001</v>
      </c>
      <c r="E115" s="4">
        <v>1.1148199999999999</v>
      </c>
      <c r="F115" s="8">
        <f t="shared" si="1"/>
        <v>15.14123</v>
      </c>
      <c r="K115" s="2">
        <v>-5.6043500000000002</v>
      </c>
      <c r="L115" s="4">
        <v>3.0462099999999999</v>
      </c>
    </row>
    <row r="116" spans="2:12">
      <c r="B116" s="2">
        <v>-7.2798100000000003</v>
      </c>
      <c r="C116" s="4">
        <v>2.1928200000000002</v>
      </c>
      <c r="D116" s="2">
        <v>-22.082699999999999</v>
      </c>
      <c r="E116" s="4">
        <v>1.11528</v>
      </c>
      <c r="F116" s="8">
        <f t="shared" si="1"/>
        <v>14.802889999999998</v>
      </c>
      <c r="K116" s="2">
        <v>-7.5674200000000003</v>
      </c>
      <c r="L116" s="4">
        <v>3.0510299999999999</v>
      </c>
    </row>
    <row r="117" spans="2:12">
      <c r="B117" s="2">
        <v>-7.70139</v>
      </c>
      <c r="C117" s="4">
        <v>2.2299099999999998</v>
      </c>
      <c r="D117" s="2">
        <v>-22.313800000000001</v>
      </c>
      <c r="E117" s="4">
        <v>1.13392</v>
      </c>
      <c r="F117" s="8">
        <f t="shared" si="1"/>
        <v>14.612410000000001</v>
      </c>
      <c r="K117" s="2">
        <v>-5.3533299999999997</v>
      </c>
      <c r="L117" s="4">
        <v>3.0606900000000001</v>
      </c>
    </row>
    <row r="118" spans="2:12">
      <c r="B118" s="2">
        <v>-7.5293900000000002</v>
      </c>
      <c r="C118" s="4">
        <v>2.2461099999999998</v>
      </c>
      <c r="D118" s="2">
        <v>-23.8185</v>
      </c>
      <c r="E118" s="4">
        <v>1.1386000000000001</v>
      </c>
      <c r="F118" s="8">
        <f t="shared" si="1"/>
        <v>16.289110000000001</v>
      </c>
      <c r="K118" s="2">
        <v>-7.12446</v>
      </c>
      <c r="L118" s="4">
        <v>3.07517</v>
      </c>
    </row>
    <row r="119" spans="2:12">
      <c r="B119" s="2">
        <v>-8.0606000000000009</v>
      </c>
      <c r="C119" s="4">
        <v>2.2509899999999998</v>
      </c>
      <c r="D119" s="2">
        <v>-22.158999999999999</v>
      </c>
      <c r="E119" s="4">
        <v>1.15273</v>
      </c>
      <c r="F119" s="8">
        <f t="shared" si="1"/>
        <v>14.098399999999998</v>
      </c>
      <c r="K119" s="2">
        <v>-5.5449099999999998</v>
      </c>
      <c r="L119" s="4">
        <v>3.1089699999999998</v>
      </c>
    </row>
    <row r="120" spans="2:12">
      <c r="B120" s="2">
        <v>-6.87303</v>
      </c>
      <c r="C120" s="4">
        <v>2.2600799999999999</v>
      </c>
      <c r="D120" s="2">
        <v>-19.5928</v>
      </c>
      <c r="E120" s="4">
        <v>1.16191</v>
      </c>
      <c r="F120" s="8">
        <f t="shared" si="1"/>
        <v>12.71977</v>
      </c>
      <c r="K120" s="2">
        <v>-6.1647100000000004</v>
      </c>
      <c r="L120" s="4">
        <v>3.1282800000000002</v>
      </c>
    </row>
    <row r="121" spans="2:12">
      <c r="B121" s="2">
        <v>-7.4821999999999997</v>
      </c>
      <c r="C121" s="4">
        <v>2.2862900000000002</v>
      </c>
      <c r="D121" s="2">
        <v>-24.820799999999998</v>
      </c>
      <c r="E121" s="4">
        <v>1.17564</v>
      </c>
      <c r="F121" s="8">
        <f t="shared" si="1"/>
        <v>17.3386</v>
      </c>
      <c r="K121" s="2">
        <v>-6.6960499999999996</v>
      </c>
      <c r="L121" s="4">
        <v>3.1331000000000002</v>
      </c>
    </row>
    <row r="122" spans="2:12">
      <c r="B122" s="2">
        <v>-5.9664400000000004</v>
      </c>
      <c r="C122" s="4">
        <v>2.30369</v>
      </c>
      <c r="D122" s="2">
        <v>-22.582699999999999</v>
      </c>
      <c r="E122" s="4">
        <v>1.1819900000000001</v>
      </c>
      <c r="F122" s="8">
        <f t="shared" si="1"/>
        <v>16.616259999999997</v>
      </c>
      <c r="K122" s="2">
        <v>-6.54826</v>
      </c>
      <c r="L122" s="4">
        <v>3.1620699999999999</v>
      </c>
    </row>
    <row r="123" spans="2:12">
      <c r="B123" s="2">
        <v>-6.7319899999999997</v>
      </c>
      <c r="C123" s="4">
        <v>2.3137099999999999</v>
      </c>
      <c r="D123" s="2">
        <v>-23.392600000000002</v>
      </c>
      <c r="E123" s="4">
        <v>1.1977</v>
      </c>
      <c r="F123" s="8">
        <f t="shared" si="1"/>
        <v>16.660610000000002</v>
      </c>
      <c r="K123" s="2">
        <v>-6.9021999999999997</v>
      </c>
      <c r="L123" s="4">
        <v>3.21034</v>
      </c>
    </row>
    <row r="124" spans="2:12">
      <c r="B124" s="2">
        <v>-5.5756500000000004</v>
      </c>
      <c r="C124" s="4">
        <v>2.32545</v>
      </c>
      <c r="D124" s="2">
        <v>-22.524100000000001</v>
      </c>
      <c r="E124" s="4">
        <v>1.21147</v>
      </c>
      <c r="F124" s="8">
        <f t="shared" si="1"/>
        <v>16.948450000000001</v>
      </c>
      <c r="K124" s="2">
        <v>-6.6659800000000002</v>
      </c>
      <c r="L124" s="4">
        <v>3.22</v>
      </c>
    </row>
    <row r="125" spans="2:12">
      <c r="B125" s="2">
        <v>-8.1224299999999996</v>
      </c>
      <c r="C125" s="4">
        <v>2.3365499999999999</v>
      </c>
      <c r="D125" s="2">
        <v>-19.571999999999999</v>
      </c>
      <c r="E125" s="4">
        <v>1.22617</v>
      </c>
      <c r="F125" s="8">
        <f t="shared" si="1"/>
        <v>11.44957</v>
      </c>
      <c r="K125" s="2">
        <v>-7.96469</v>
      </c>
      <c r="L125" s="4">
        <v>3.2489699999999999</v>
      </c>
    </row>
    <row r="126" spans="2:12">
      <c r="B126" s="2">
        <v>-7.4660700000000002</v>
      </c>
      <c r="C126" s="4">
        <v>2.3505199999999999</v>
      </c>
      <c r="D126" s="2">
        <v>-21.617000000000001</v>
      </c>
      <c r="E126" s="4">
        <v>1.22794</v>
      </c>
      <c r="F126" s="8">
        <f t="shared" si="1"/>
        <v>14.150930000000001</v>
      </c>
      <c r="K126" s="2">
        <v>-5.8685299999999998</v>
      </c>
      <c r="L126" s="4">
        <v>3.2827600000000001</v>
      </c>
    </row>
    <row r="127" spans="2:12">
      <c r="B127" s="2">
        <v>-8.04406</v>
      </c>
      <c r="C127" s="4">
        <v>2.3687299999999998</v>
      </c>
      <c r="D127" s="2">
        <v>-22.561900000000001</v>
      </c>
      <c r="E127" s="4">
        <v>1.2435799999999999</v>
      </c>
      <c r="F127" s="8">
        <f t="shared" si="1"/>
        <v>14.517840000000001</v>
      </c>
      <c r="K127" s="2">
        <v>-6.3406700000000003</v>
      </c>
      <c r="L127" s="4">
        <v>3.3117200000000002</v>
      </c>
    </row>
    <row r="128" spans="2:12">
      <c r="B128" s="2">
        <v>-7.2626600000000003</v>
      </c>
      <c r="C128" s="4">
        <v>2.3881600000000001</v>
      </c>
      <c r="D128" s="2">
        <v>-20.439699999999998</v>
      </c>
      <c r="E128" s="4">
        <v>1.2445299999999999</v>
      </c>
      <c r="F128" s="8">
        <f t="shared" si="1"/>
        <v>13.177039999999998</v>
      </c>
      <c r="K128" s="2">
        <v>-6.9307400000000001</v>
      </c>
      <c r="L128" s="4">
        <v>3.36483</v>
      </c>
    </row>
    <row r="129" spans="2:12">
      <c r="B129" s="2">
        <v>-7.4187000000000003</v>
      </c>
      <c r="C129" s="4">
        <v>2.4147699999999999</v>
      </c>
      <c r="D129" s="2">
        <v>-21.789899999999999</v>
      </c>
      <c r="E129" s="4">
        <v>1.2573099999999999</v>
      </c>
      <c r="F129" s="8">
        <f t="shared" si="1"/>
        <v>14.371199999999998</v>
      </c>
      <c r="K129" s="2">
        <v>-6.4731800000000002</v>
      </c>
      <c r="L129" s="4">
        <v>3.36483</v>
      </c>
    </row>
    <row r="130" spans="2:12">
      <c r="B130" s="2">
        <v>-7.0746700000000002</v>
      </c>
      <c r="C130" s="4">
        <v>2.4498600000000001</v>
      </c>
      <c r="D130" s="2">
        <v>-21.037299999999998</v>
      </c>
      <c r="E130" s="4">
        <v>1.2629999999999999</v>
      </c>
      <c r="F130" s="8">
        <f t="shared" si="1"/>
        <v>13.962629999999997</v>
      </c>
      <c r="K130" s="2">
        <v>-5.7940899999999997</v>
      </c>
      <c r="L130" s="4">
        <v>3.3841399999999999</v>
      </c>
    </row>
    <row r="131" spans="2:12">
      <c r="B131" s="2">
        <v>-7.2620100000000001</v>
      </c>
      <c r="C131" s="4">
        <v>2.4710999999999999</v>
      </c>
      <c r="D131" s="2">
        <v>-21.963100000000001</v>
      </c>
      <c r="E131" s="4">
        <v>1.2733000000000001</v>
      </c>
      <c r="F131" s="8">
        <f t="shared" si="1"/>
        <v>14.701090000000001</v>
      </c>
      <c r="K131" s="2">
        <v>-6.7091599999999998</v>
      </c>
      <c r="L131" s="4">
        <v>3.3937900000000001</v>
      </c>
    </row>
    <row r="132" spans="2:12">
      <c r="B132" s="2">
        <v>-6.8554599999999999</v>
      </c>
      <c r="C132" s="4">
        <v>2.5089199999999998</v>
      </c>
      <c r="D132" s="2">
        <v>-22.696200000000001</v>
      </c>
      <c r="E132" s="4">
        <v>1.27565</v>
      </c>
      <c r="F132" s="8">
        <f t="shared" si="1"/>
        <v>15.84074</v>
      </c>
      <c r="K132" s="2">
        <v>-6.0448300000000001</v>
      </c>
      <c r="L132" s="4">
        <v>3.4131</v>
      </c>
    </row>
    <row r="133" spans="2:12">
      <c r="B133" s="2">
        <v>-6.9021699999999999</v>
      </c>
      <c r="C133" s="4">
        <v>2.5302899999999999</v>
      </c>
      <c r="D133" s="2">
        <v>-22.2135</v>
      </c>
      <c r="E133" s="4">
        <v>1.29193</v>
      </c>
      <c r="F133" s="8">
        <f t="shared" si="1"/>
        <v>15.31133</v>
      </c>
      <c r="K133" s="2">
        <v>-6.3398500000000002</v>
      </c>
      <c r="L133" s="4">
        <v>3.4420700000000002</v>
      </c>
    </row>
    <row r="134" spans="2:12">
      <c r="B134" s="2">
        <v>-6.7457099999999999</v>
      </c>
      <c r="C134" s="4">
        <v>2.5571799999999998</v>
      </c>
      <c r="D134" s="2">
        <v>-19.9175</v>
      </c>
      <c r="E134" s="4">
        <v>1.3009900000000001</v>
      </c>
      <c r="F134" s="8">
        <f t="shared" si="1"/>
        <v>13.171790000000001</v>
      </c>
      <c r="K134" s="2">
        <v>-5.8081500000000004</v>
      </c>
      <c r="L134" s="4">
        <v>3.4951699999999999</v>
      </c>
    </row>
    <row r="135" spans="2:12">
      <c r="B135" s="2">
        <v>-7.6673999999999998</v>
      </c>
      <c r="C135" s="4">
        <v>2.5804399999999998</v>
      </c>
      <c r="D135" s="2">
        <v>-22.5411</v>
      </c>
      <c r="E135" s="4">
        <v>1.3051699999999999</v>
      </c>
      <c r="F135" s="8">
        <f t="shared" ref="F135:F185" si="2">B135-D135</f>
        <v>14.873699999999999</v>
      </c>
      <c r="K135" s="2">
        <v>-6.7380399999999998</v>
      </c>
      <c r="L135" s="4">
        <v>3.4951699999999999</v>
      </c>
    </row>
    <row r="136" spans="2:12">
      <c r="B136" s="2">
        <v>-6.5110200000000003</v>
      </c>
      <c r="C136" s="4">
        <v>2.5975199999999998</v>
      </c>
      <c r="D136" s="2">
        <v>-21.460699999999999</v>
      </c>
      <c r="E136" s="4">
        <v>1.30565</v>
      </c>
      <c r="F136" s="8">
        <f t="shared" si="2"/>
        <v>14.949679999999999</v>
      </c>
      <c r="K136" s="2">
        <v>-6.1031399999999998</v>
      </c>
      <c r="L136" s="4">
        <v>3.5289700000000002</v>
      </c>
    </row>
    <row r="137" spans="2:12">
      <c r="B137" s="2">
        <v>-6.6670199999999999</v>
      </c>
      <c r="C137" s="4">
        <v>2.6294900000000001</v>
      </c>
      <c r="D137" s="2">
        <v>-21.8079</v>
      </c>
      <c r="E137" s="4">
        <v>1.3108500000000001</v>
      </c>
      <c r="F137" s="8">
        <f t="shared" si="2"/>
        <v>15.140879999999999</v>
      </c>
      <c r="K137" s="2">
        <v>-6.6490499999999999</v>
      </c>
      <c r="L137" s="4">
        <v>3.5627599999999999</v>
      </c>
    </row>
    <row r="138" spans="2:12">
      <c r="B138" s="2">
        <v>-6.40123</v>
      </c>
      <c r="C138" s="4">
        <v>2.6511300000000002</v>
      </c>
      <c r="D138" s="2">
        <v>-23.3703</v>
      </c>
      <c r="E138" s="4">
        <v>1.3208599999999999</v>
      </c>
      <c r="F138" s="8">
        <f t="shared" si="2"/>
        <v>16.969070000000002</v>
      </c>
      <c r="K138" s="2">
        <v>-6.0289700000000002</v>
      </c>
      <c r="L138" s="4">
        <v>3.5869</v>
      </c>
    </row>
    <row r="139" spans="2:12">
      <c r="B139" s="2">
        <v>-6.4009999999999998</v>
      </c>
      <c r="C139" s="4">
        <v>2.6805599999999998</v>
      </c>
      <c r="D139" s="2">
        <v>-22.4056</v>
      </c>
      <c r="E139" s="4">
        <v>1.3266500000000001</v>
      </c>
      <c r="F139" s="8">
        <f t="shared" si="2"/>
        <v>16.0046</v>
      </c>
      <c r="K139" s="2">
        <v>-6.6930899999999998</v>
      </c>
      <c r="L139" s="4">
        <v>3.6013799999999998</v>
      </c>
    </row>
    <row r="140" spans="2:12">
      <c r="B140" s="2">
        <v>-7.0102900000000004</v>
      </c>
      <c r="C140" s="4">
        <v>2.6907199999999998</v>
      </c>
      <c r="D140" s="2">
        <v>-24.392499999999998</v>
      </c>
      <c r="E140" s="4">
        <v>1.3338000000000001</v>
      </c>
      <c r="F140" s="8">
        <f t="shared" si="2"/>
        <v>17.382209999999997</v>
      </c>
      <c r="K140" s="2">
        <v>-6.6191000000000004</v>
      </c>
      <c r="L140" s="4">
        <v>3.6303399999999999</v>
      </c>
    </row>
    <row r="141" spans="2:12">
      <c r="B141" s="2">
        <v>-6.2914300000000001</v>
      </c>
      <c r="C141" s="4">
        <v>2.7047400000000001</v>
      </c>
      <c r="D141" s="2">
        <v>-22.791</v>
      </c>
      <c r="E141" s="4">
        <v>1.3425400000000001</v>
      </c>
      <c r="F141" s="8">
        <f t="shared" si="2"/>
        <v>16.499569999999999</v>
      </c>
      <c r="K141" s="2">
        <v>-6.8106799999999996</v>
      </c>
      <c r="L141" s="4">
        <v>3.67862</v>
      </c>
    </row>
    <row r="142" spans="2:12">
      <c r="B142" s="2">
        <v>-4.3068499999999998</v>
      </c>
      <c r="C142" s="4">
        <v>2.7305899999999999</v>
      </c>
      <c r="D142" s="2">
        <v>-23.658999999999999</v>
      </c>
      <c r="E142" s="4">
        <v>1.35019</v>
      </c>
      <c r="F142" s="8">
        <f t="shared" si="2"/>
        <v>19.352149999999998</v>
      </c>
      <c r="K142" s="2">
        <v>-6.0282099999999996</v>
      </c>
      <c r="L142" s="4">
        <v>3.7075900000000002</v>
      </c>
    </row>
    <row r="143" spans="2:12">
      <c r="B143" s="2">
        <v>-5.6817200000000003</v>
      </c>
      <c r="C143" s="4">
        <v>2.7481</v>
      </c>
      <c r="D143" s="2">
        <v>-22.732700000000001</v>
      </c>
      <c r="E143" s="4">
        <v>1.36399</v>
      </c>
      <c r="F143" s="8">
        <f t="shared" si="2"/>
        <v>17.050980000000003</v>
      </c>
      <c r="K143" s="2">
        <v>-6.8103400000000001</v>
      </c>
      <c r="L143" s="4">
        <v>3.7317200000000001</v>
      </c>
    </row>
    <row r="144" spans="2:12">
      <c r="B144" s="2">
        <v>-6.71272</v>
      </c>
      <c r="C144" s="4">
        <v>2.77928</v>
      </c>
      <c r="D144" s="2">
        <v>-23.754799999999999</v>
      </c>
      <c r="E144" s="4">
        <v>1.3769199999999999</v>
      </c>
      <c r="F144" s="8">
        <f t="shared" si="2"/>
        <v>17.042079999999999</v>
      </c>
      <c r="K144" s="2">
        <v>-6.7510899999999996</v>
      </c>
      <c r="L144" s="4">
        <v>3.76552</v>
      </c>
    </row>
    <row r="145" spans="2:12">
      <c r="B145" s="2">
        <v>-4.6031300000000002</v>
      </c>
      <c r="C145" s="4">
        <v>2.8079200000000002</v>
      </c>
      <c r="D145" s="2">
        <v>-22.944400000000002</v>
      </c>
      <c r="E145" s="4">
        <v>1.38531</v>
      </c>
      <c r="F145" s="8">
        <f t="shared" si="2"/>
        <v>18.341270000000002</v>
      </c>
      <c r="K145" s="2">
        <v>-6.8985399999999997</v>
      </c>
      <c r="L145" s="4">
        <v>3.78966</v>
      </c>
    </row>
    <row r="146" spans="2:12">
      <c r="B146" s="2">
        <v>-4.7123799999999996</v>
      </c>
      <c r="C146" s="4">
        <v>2.8238799999999999</v>
      </c>
      <c r="D146" s="2">
        <v>-24.1206</v>
      </c>
      <c r="E146" s="4">
        <v>1.4088799999999999</v>
      </c>
      <c r="F146" s="8">
        <f t="shared" si="2"/>
        <v>19.40822</v>
      </c>
      <c r="K146" s="2">
        <v>-6.6622199999999996</v>
      </c>
      <c r="L146" s="4">
        <v>3.81379</v>
      </c>
    </row>
    <row r="147" spans="2:12">
      <c r="B147" s="2">
        <v>-6.1497999999999999</v>
      </c>
      <c r="C147" s="4">
        <v>2.8332999999999999</v>
      </c>
      <c r="D147" s="2">
        <v>-22.77</v>
      </c>
      <c r="E147" s="4">
        <v>1.4148400000000001</v>
      </c>
      <c r="F147" s="8">
        <f t="shared" si="2"/>
        <v>16.620200000000001</v>
      </c>
      <c r="K147" s="2">
        <v>-7.0900800000000004</v>
      </c>
      <c r="L147" s="4">
        <v>3.8427600000000002</v>
      </c>
    </row>
    <row r="148" spans="2:12">
      <c r="B148" s="2">
        <v>-5.8059200000000004</v>
      </c>
      <c r="C148" s="4">
        <v>2.8496600000000001</v>
      </c>
      <c r="D148" s="2">
        <v>-22.866099999999999</v>
      </c>
      <c r="E148" s="4">
        <v>1.43086</v>
      </c>
      <c r="F148" s="8">
        <f t="shared" si="2"/>
        <v>17.060179999999999</v>
      </c>
      <c r="K148" s="2">
        <v>-6.8685299999999998</v>
      </c>
      <c r="L148" s="4">
        <v>3.8668999999999998</v>
      </c>
    </row>
    <row r="149" spans="2:12">
      <c r="B149" s="2">
        <v>-6.9308300000000003</v>
      </c>
      <c r="C149" s="4">
        <v>2.8620299999999999</v>
      </c>
      <c r="D149" s="2">
        <v>-23.734100000000002</v>
      </c>
      <c r="E149" s="4">
        <v>1.43851</v>
      </c>
      <c r="F149" s="8">
        <f t="shared" si="2"/>
        <v>16.803270000000001</v>
      </c>
      <c r="K149" s="2">
        <v>-7.1635200000000001</v>
      </c>
      <c r="L149" s="4">
        <v>3.90069</v>
      </c>
    </row>
    <row r="150" spans="2:12">
      <c r="B150" s="2">
        <v>-7.0869999999999997</v>
      </c>
      <c r="C150" s="4">
        <v>2.8725999999999998</v>
      </c>
      <c r="D150" s="2">
        <v>-22.633900000000001</v>
      </c>
      <c r="E150" s="4">
        <v>1.4604200000000001</v>
      </c>
      <c r="F150" s="8">
        <f t="shared" si="2"/>
        <v>15.546900000000001</v>
      </c>
      <c r="K150" s="2">
        <v>-6.7500799999999996</v>
      </c>
      <c r="L150" s="4">
        <v>3.92483</v>
      </c>
    </row>
    <row r="151" spans="2:12">
      <c r="B151" s="2">
        <v>-5.1179399999999999</v>
      </c>
      <c r="C151" s="4">
        <v>2.91181</v>
      </c>
      <c r="D151" s="2">
        <v>-23.8874</v>
      </c>
      <c r="E151" s="4">
        <v>1.4785999999999999</v>
      </c>
      <c r="F151" s="8">
        <f t="shared" si="2"/>
        <v>18.769459999999999</v>
      </c>
      <c r="K151" s="2">
        <v>-6.9565700000000001</v>
      </c>
      <c r="L151" s="4">
        <v>3.9489700000000001</v>
      </c>
    </row>
    <row r="152" spans="2:12">
      <c r="B152" s="2">
        <v>-6.9770099999999999</v>
      </c>
      <c r="C152" s="4">
        <v>2.9502899999999999</v>
      </c>
      <c r="D152" s="2">
        <v>-23.019100000000002</v>
      </c>
      <c r="E152" s="4">
        <v>1.48434</v>
      </c>
      <c r="F152" s="8">
        <f t="shared" si="2"/>
        <v>16.042090000000002</v>
      </c>
      <c r="K152" s="2">
        <v>-6.4693899999999998</v>
      </c>
      <c r="L152" s="4">
        <v>3.9634499999999999</v>
      </c>
    </row>
    <row r="153" spans="2:12">
      <c r="B153" s="2">
        <v>-6.8986999999999998</v>
      </c>
      <c r="C153" s="4">
        <v>2.97444</v>
      </c>
      <c r="D153" s="2">
        <v>-22.864100000000001</v>
      </c>
      <c r="E153" s="4">
        <v>1.51386</v>
      </c>
      <c r="F153" s="8">
        <f t="shared" si="2"/>
        <v>15.965400000000001</v>
      </c>
      <c r="K153" s="2">
        <v>-7.6203500000000002</v>
      </c>
      <c r="L153" s="4">
        <v>4.0165499999999996</v>
      </c>
    </row>
    <row r="154" spans="2:12">
      <c r="B154" s="2">
        <v>-7.4298700000000002</v>
      </c>
      <c r="C154" s="4">
        <v>2.9846599999999999</v>
      </c>
      <c r="D154" s="2">
        <v>-23.1724</v>
      </c>
      <c r="E154" s="4">
        <v>1.52979</v>
      </c>
      <c r="F154" s="8">
        <f t="shared" si="2"/>
        <v>15.742529999999999</v>
      </c>
      <c r="K154" s="2">
        <v>-7.2951699999999997</v>
      </c>
      <c r="L154" s="4">
        <v>4.0889699999999998</v>
      </c>
    </row>
    <row r="155" spans="2:12">
      <c r="B155" s="2">
        <v>-7.36714</v>
      </c>
      <c r="C155" s="4">
        <v>3.0141499999999999</v>
      </c>
      <c r="D155" s="2">
        <v>-24.464700000000001</v>
      </c>
      <c r="E155" s="4">
        <v>1.53992</v>
      </c>
      <c r="F155" s="8">
        <f t="shared" si="2"/>
        <v>17.097560000000001</v>
      </c>
      <c r="K155" s="2">
        <v>-7.1327400000000001</v>
      </c>
      <c r="L155" s="4">
        <v>4.0986200000000004</v>
      </c>
    </row>
    <row r="156" spans="2:12">
      <c r="B156" s="2">
        <v>-6.9296199999999999</v>
      </c>
      <c r="C156" s="4">
        <v>3.01722</v>
      </c>
      <c r="D156" s="2">
        <v>-22.805299999999999</v>
      </c>
      <c r="E156" s="4">
        <v>1.5513699999999999</v>
      </c>
      <c r="F156" s="8">
        <f t="shared" si="2"/>
        <v>15.875679999999999</v>
      </c>
      <c r="K156" s="2">
        <v>-7.5901300000000003</v>
      </c>
      <c r="L156" s="4">
        <v>4.1275899999999996</v>
      </c>
    </row>
    <row r="157" spans="2:12">
      <c r="B157" s="2">
        <v>-6.9295299999999997</v>
      </c>
      <c r="C157" s="4">
        <v>3.0279199999999999</v>
      </c>
      <c r="D157" s="2">
        <v>-23.866</v>
      </c>
      <c r="E157" s="4">
        <v>1.5669599999999999</v>
      </c>
      <c r="F157" s="8">
        <f t="shared" si="2"/>
        <v>16.93647</v>
      </c>
      <c r="K157" s="2">
        <v>-7.2058999999999997</v>
      </c>
      <c r="L157" s="4">
        <v>4.2</v>
      </c>
    </row>
    <row r="158" spans="2:12">
      <c r="B158" s="2">
        <v>-6.8512599999999999</v>
      </c>
      <c r="C158" s="4">
        <v>3.0467200000000001</v>
      </c>
      <c r="D158" s="2">
        <v>-22.534600000000001</v>
      </c>
      <c r="E158" s="4">
        <v>1.5782700000000001</v>
      </c>
      <c r="F158" s="8">
        <f t="shared" si="2"/>
        <v>15.683340000000001</v>
      </c>
      <c r="K158" s="2">
        <v>-7.5450799999999996</v>
      </c>
      <c r="L158" s="4">
        <v>4.2482800000000003</v>
      </c>
    </row>
    <row r="159" spans="2:12">
      <c r="B159" s="2">
        <v>-8.0698699999999999</v>
      </c>
      <c r="C159" s="4">
        <v>3.0643600000000002</v>
      </c>
      <c r="D159" s="2">
        <v>-23.4605</v>
      </c>
      <c r="E159" s="4">
        <v>1.58321</v>
      </c>
      <c r="F159" s="8">
        <f t="shared" si="2"/>
        <v>15.39063</v>
      </c>
      <c r="K159" s="2">
        <v>-7.3087400000000002</v>
      </c>
      <c r="L159" s="4">
        <v>4.2772399999999999</v>
      </c>
    </row>
    <row r="160" spans="2:12">
      <c r="B160" s="2">
        <v>-7.3036099999999999</v>
      </c>
      <c r="C160" s="4">
        <v>3.1453099999999998</v>
      </c>
      <c r="D160" s="2">
        <v>-23.1127</v>
      </c>
      <c r="E160" s="4">
        <v>1.6047800000000001</v>
      </c>
      <c r="F160" s="8">
        <f t="shared" si="2"/>
        <v>15.809090000000001</v>
      </c>
      <c r="K160" s="2">
        <v>-7.4265100000000004</v>
      </c>
      <c r="L160" s="4">
        <v>4.32552</v>
      </c>
    </row>
    <row r="161" spans="2:12">
      <c r="B161" s="2">
        <v>-7.4129100000000001</v>
      </c>
      <c r="C161" s="4">
        <v>3.1559200000000001</v>
      </c>
      <c r="D161" s="2">
        <v>-24.250900000000001</v>
      </c>
      <c r="E161" s="4">
        <v>1.6069500000000001</v>
      </c>
      <c r="F161" s="8">
        <f t="shared" si="2"/>
        <v>16.837990000000001</v>
      </c>
      <c r="K161" s="2">
        <v>-7.9134099999999998</v>
      </c>
      <c r="L161" s="4">
        <v>4.3544799999999997</v>
      </c>
    </row>
    <row r="162" spans="2:12">
      <c r="B162" s="2">
        <v>-7.89703</v>
      </c>
      <c r="C162" s="4">
        <v>3.1875900000000001</v>
      </c>
      <c r="D162" s="2">
        <v>-22.5335</v>
      </c>
      <c r="E162" s="4">
        <v>1.62378</v>
      </c>
      <c r="F162" s="8">
        <f t="shared" si="2"/>
        <v>14.636469999999999</v>
      </c>
      <c r="K162" s="2">
        <v>-8.0897699999999997</v>
      </c>
      <c r="L162" s="4">
        <v>4.4751700000000003</v>
      </c>
    </row>
    <row r="163" spans="2:12">
      <c r="B163" s="2">
        <v>-7.8810700000000002</v>
      </c>
      <c r="C163" s="4">
        <v>3.2304200000000001</v>
      </c>
      <c r="D163" s="2">
        <v>-24.018899999999999</v>
      </c>
      <c r="E163" s="4">
        <v>1.6284700000000001</v>
      </c>
      <c r="F163" s="8">
        <f t="shared" si="2"/>
        <v>16.137829999999997</v>
      </c>
      <c r="K163" s="2">
        <v>-8.0157299999999996</v>
      </c>
      <c r="L163" s="4">
        <v>4.5137900000000002</v>
      </c>
    </row>
    <row r="164" spans="2:12">
      <c r="B164" s="2">
        <v>-8.4744899999999994</v>
      </c>
      <c r="C164" s="4">
        <v>3.2726999999999999</v>
      </c>
      <c r="D164" s="2">
        <v>-22.996200000000002</v>
      </c>
      <c r="E164" s="4">
        <v>1.63696</v>
      </c>
      <c r="F164" s="8">
        <f t="shared" si="2"/>
        <v>14.521710000000002</v>
      </c>
      <c r="K164" s="2">
        <v>-8.5173299999999994</v>
      </c>
      <c r="L164" s="4">
        <v>4.5524100000000001</v>
      </c>
    </row>
    <row r="165" spans="2:12">
      <c r="B165" s="2">
        <v>-8.1930499999999995</v>
      </c>
      <c r="C165" s="4">
        <v>3.2970299999999999</v>
      </c>
      <c r="D165" s="2">
        <v>-23.940799999999999</v>
      </c>
      <c r="E165" s="4">
        <v>1.6659900000000001</v>
      </c>
      <c r="F165" s="8">
        <f t="shared" si="2"/>
        <v>15.74775</v>
      </c>
      <c r="K165" s="2">
        <v>-8.0152099999999997</v>
      </c>
      <c r="L165" s="4">
        <v>4.5958600000000001</v>
      </c>
    </row>
    <row r="166" spans="2:12">
      <c r="B166" s="2">
        <v>-8.3175699999999999</v>
      </c>
      <c r="C166" s="4">
        <v>3.3584499999999999</v>
      </c>
      <c r="D166" s="2">
        <v>-23.169</v>
      </c>
      <c r="E166" s="4">
        <v>1.6690100000000001</v>
      </c>
      <c r="F166" s="8">
        <f t="shared" si="2"/>
        <v>14.851430000000001</v>
      </c>
      <c r="K166" s="2">
        <v>-7.98529</v>
      </c>
      <c r="L166" s="4">
        <v>4.65862</v>
      </c>
    </row>
    <row r="167" spans="2:12">
      <c r="B167" s="2">
        <v>-8.1764100000000006</v>
      </c>
      <c r="C167" s="4">
        <v>3.42815</v>
      </c>
      <c r="D167" s="2">
        <v>-24.403099999999998</v>
      </c>
      <c r="E167" s="4">
        <v>1.69791</v>
      </c>
      <c r="F167" s="8">
        <f t="shared" si="2"/>
        <v>16.226689999999998</v>
      </c>
      <c r="K167" s="2">
        <v>-8.30959</v>
      </c>
      <c r="L167" s="4">
        <v>4.72621</v>
      </c>
    </row>
    <row r="168" spans="2:12">
      <c r="B168" s="2">
        <v>-8.73855</v>
      </c>
      <c r="C168" s="4">
        <v>3.4731299999999998</v>
      </c>
      <c r="D168" s="2">
        <v>-22.839700000000001</v>
      </c>
      <c r="E168" s="4">
        <v>1.72539</v>
      </c>
      <c r="F168" s="8">
        <f t="shared" si="2"/>
        <v>14.101150000000001</v>
      </c>
      <c r="K168" s="2">
        <v>-8.2502999999999993</v>
      </c>
      <c r="L168" s="4">
        <v>4.7648299999999999</v>
      </c>
    </row>
    <row r="169" spans="2:12">
      <c r="B169" s="2">
        <v>-8.1288</v>
      </c>
      <c r="C169" s="4">
        <v>3.52183</v>
      </c>
      <c r="D169" s="2">
        <v>-23.572500000000002</v>
      </c>
      <c r="E169" s="4">
        <v>1.7384500000000001</v>
      </c>
      <c r="F169" s="8">
        <f t="shared" si="2"/>
        <v>15.443700000000002</v>
      </c>
      <c r="K169" s="2">
        <v>-7.9401200000000003</v>
      </c>
      <c r="L169" s="4">
        <v>4.7986199999999997</v>
      </c>
    </row>
    <row r="170" spans="2:12">
      <c r="B170" s="2">
        <v>-8.2693399999999997</v>
      </c>
      <c r="C170" s="4">
        <v>3.53241</v>
      </c>
      <c r="D170" s="2">
        <v>-24.015899999999998</v>
      </c>
      <c r="E170" s="4">
        <v>1.75163</v>
      </c>
      <c r="F170" s="8">
        <f t="shared" si="2"/>
        <v>15.746559999999999</v>
      </c>
      <c r="K170" s="2">
        <v>-8.1614400000000007</v>
      </c>
      <c r="L170" s="4">
        <v>4.8131000000000004</v>
      </c>
    </row>
    <row r="171" spans="2:12">
      <c r="B171" s="2">
        <v>-8.4099000000000004</v>
      </c>
      <c r="C171" s="4">
        <v>3.5403099999999998</v>
      </c>
      <c r="D171" s="2">
        <v>-22.781199999999998</v>
      </c>
      <c r="E171" s="4">
        <v>1.7521899999999999</v>
      </c>
      <c r="F171" s="8">
        <f t="shared" si="2"/>
        <v>14.371299999999998</v>
      </c>
      <c r="K171" s="2">
        <v>-7.7624500000000003</v>
      </c>
      <c r="L171" s="4">
        <v>4.8855199999999996</v>
      </c>
    </row>
    <row r="172" spans="2:12">
      <c r="B172" s="2">
        <v>-8.3940900000000003</v>
      </c>
      <c r="C172" s="4">
        <v>3.5644100000000001</v>
      </c>
      <c r="D172" s="2">
        <v>-23.205200000000001</v>
      </c>
      <c r="E172" s="4">
        <v>1.76806</v>
      </c>
      <c r="F172" s="8">
        <f t="shared" si="2"/>
        <v>14.811110000000001</v>
      </c>
      <c r="K172" s="2">
        <v>-8.6771899999999995</v>
      </c>
      <c r="L172" s="4">
        <v>4.9482799999999996</v>
      </c>
    </row>
    <row r="173" spans="2:12">
      <c r="B173" s="2">
        <v>-8.31569</v>
      </c>
      <c r="C173" s="4">
        <v>3.5992600000000001</v>
      </c>
      <c r="D173" s="2">
        <v>-23.532900000000001</v>
      </c>
      <c r="E173" s="4">
        <v>1.7813000000000001</v>
      </c>
      <c r="F173" s="8">
        <f t="shared" si="2"/>
        <v>15.217210000000001</v>
      </c>
      <c r="K173" s="2">
        <v>-8.1899200000000008</v>
      </c>
      <c r="L173" s="4">
        <v>4.9772400000000001</v>
      </c>
    </row>
    <row r="174" spans="2:12">
      <c r="B174" s="2">
        <v>-8.5187399999999993</v>
      </c>
      <c r="C174" s="4">
        <v>3.6097800000000002</v>
      </c>
      <c r="D174" s="2">
        <v>-24.072900000000001</v>
      </c>
      <c r="E174" s="4">
        <v>1.7890900000000001</v>
      </c>
      <c r="F174" s="8">
        <f t="shared" si="2"/>
        <v>15.554160000000001</v>
      </c>
      <c r="K174" s="2">
        <v>-7.8944700000000001</v>
      </c>
      <c r="L174" s="4">
        <v>5.01586</v>
      </c>
    </row>
    <row r="175" spans="2:12">
      <c r="B175" s="2">
        <v>-8.7215299999999996</v>
      </c>
      <c r="C175" s="4">
        <v>3.6524100000000002</v>
      </c>
      <c r="D175" s="2">
        <v>-23.8217</v>
      </c>
      <c r="E175" s="4">
        <v>1.8052699999999999</v>
      </c>
      <c r="F175" s="8">
        <f t="shared" si="2"/>
        <v>15.10017</v>
      </c>
      <c r="K175" s="2">
        <v>-8.3075700000000001</v>
      </c>
      <c r="L175" s="4">
        <v>5.0448300000000001</v>
      </c>
    </row>
    <row r="176" spans="2:12">
      <c r="B176" s="2">
        <v>-8.8308400000000002</v>
      </c>
      <c r="C176" s="4">
        <v>3.6603400000000001</v>
      </c>
      <c r="D176" s="2">
        <v>-24.265000000000001</v>
      </c>
      <c r="E176" s="4">
        <v>1.8238099999999999</v>
      </c>
      <c r="F176" s="8">
        <f t="shared" si="2"/>
        <v>15.43416</v>
      </c>
      <c r="K176" s="2">
        <v>-7.8202699999999998</v>
      </c>
      <c r="L176" s="4">
        <v>5.0786199999999999</v>
      </c>
    </row>
    <row r="177" spans="2:12">
      <c r="B177" s="2">
        <v>-9.0182400000000005</v>
      </c>
      <c r="C177" s="4">
        <v>3.6735500000000001</v>
      </c>
      <c r="D177" s="2">
        <v>-23.666599999999999</v>
      </c>
      <c r="E177" s="4">
        <v>1.8374699999999999</v>
      </c>
      <c r="F177" s="8">
        <f t="shared" si="2"/>
        <v>14.648359999999998</v>
      </c>
      <c r="K177" s="2">
        <v>-8.1740600000000008</v>
      </c>
      <c r="L177" s="4">
        <v>5.1510300000000004</v>
      </c>
    </row>
    <row r="178" spans="2:12">
      <c r="B178" s="2">
        <v>-9.2524099999999994</v>
      </c>
      <c r="C178" s="4">
        <v>3.7000999999999999</v>
      </c>
      <c r="D178" s="2">
        <v>-24.206299999999999</v>
      </c>
      <c r="E178" s="4">
        <v>1.8586400000000001</v>
      </c>
      <c r="F178" s="8">
        <f t="shared" si="2"/>
        <v>14.953889999999999</v>
      </c>
      <c r="K178" s="2">
        <v>-8.3510899999999992</v>
      </c>
      <c r="L178" s="4">
        <v>5.1655199999999999</v>
      </c>
    </row>
    <row r="179" spans="2:12">
      <c r="B179" s="2">
        <v>-9.1428999999999991</v>
      </c>
      <c r="C179" s="4">
        <v>3.7162500000000001</v>
      </c>
      <c r="D179" s="2">
        <v>-23.5307</v>
      </c>
      <c r="E179" s="4">
        <v>1.87233</v>
      </c>
      <c r="F179" s="8">
        <f t="shared" si="2"/>
        <v>14.3878</v>
      </c>
      <c r="K179" s="2">
        <v>-8.0998599999999996</v>
      </c>
      <c r="L179" s="4">
        <v>5.2137900000000004</v>
      </c>
    </row>
    <row r="180" spans="2:12">
      <c r="B180" s="2">
        <v>-9.0178200000000004</v>
      </c>
      <c r="C180" s="4">
        <v>3.7270599999999998</v>
      </c>
      <c r="D180" s="2">
        <v>-24.861599999999999</v>
      </c>
      <c r="E180" s="4">
        <v>1.88513</v>
      </c>
      <c r="F180" s="8">
        <f t="shared" si="2"/>
        <v>15.843779999999999</v>
      </c>
      <c r="K180" s="2">
        <v>-8.4388199999999998</v>
      </c>
      <c r="L180" s="4">
        <v>5.2958600000000002</v>
      </c>
    </row>
    <row r="181" spans="2:12">
      <c r="B181" s="2">
        <v>-8.8768399999999996</v>
      </c>
      <c r="C181" s="4">
        <v>3.7726700000000002</v>
      </c>
      <c r="D181" s="2">
        <v>-23.645600000000002</v>
      </c>
      <c r="E181" s="4">
        <v>1.90709</v>
      </c>
      <c r="F181" s="8">
        <f t="shared" si="2"/>
        <v>14.768760000000002</v>
      </c>
      <c r="K181" s="2">
        <v>-8.4534000000000002</v>
      </c>
      <c r="L181" s="4">
        <v>5.3248300000000004</v>
      </c>
    </row>
    <row r="182" spans="2:12">
      <c r="B182" s="2">
        <v>-8.9547600000000003</v>
      </c>
      <c r="C182" s="4">
        <v>3.7993600000000001</v>
      </c>
      <c r="D182" s="2">
        <v>-23.9924</v>
      </c>
      <c r="E182" s="4">
        <v>1.92567</v>
      </c>
      <c r="F182" s="8">
        <f t="shared" si="2"/>
        <v>15.03764</v>
      </c>
      <c r="K182" s="2">
        <v>-8.6303999999999998</v>
      </c>
      <c r="L182" s="4">
        <v>5.3441400000000003</v>
      </c>
    </row>
    <row r="183" spans="2:12">
      <c r="B183" s="2">
        <v>-8.7045700000000004</v>
      </c>
      <c r="C183" s="4">
        <v>3.8236599999999998</v>
      </c>
      <c r="D183" s="2">
        <v>-23.528700000000001</v>
      </c>
      <c r="E183" s="4">
        <v>1.95533</v>
      </c>
      <c r="F183" s="8">
        <f t="shared" si="2"/>
        <v>14.82413</v>
      </c>
      <c r="K183" s="2">
        <v>-8.2169899999999991</v>
      </c>
      <c r="L183" s="4">
        <v>5.3634500000000003</v>
      </c>
    </row>
    <row r="184" spans="2:12">
      <c r="B184" s="2">
        <v>-8.6106499999999997</v>
      </c>
      <c r="C184" s="4">
        <v>3.8451499999999998</v>
      </c>
      <c r="D184" s="2">
        <v>-24.261399999999998</v>
      </c>
      <c r="E184" s="4">
        <v>1.9710700000000001</v>
      </c>
      <c r="F184" s="8">
        <f t="shared" si="2"/>
        <v>15.650749999999999</v>
      </c>
      <c r="K184" s="2">
        <v>-8.1134900000000005</v>
      </c>
      <c r="L184" s="4">
        <v>5.3924099999999999</v>
      </c>
    </row>
    <row r="185" spans="2:12">
      <c r="B185" s="2">
        <v>-8.7823100000000007</v>
      </c>
      <c r="C185" s="4">
        <v>3.87175</v>
      </c>
      <c r="D185" s="2">
        <v>-21.675999999999998</v>
      </c>
      <c r="E185" s="4">
        <v>1.9802599999999999</v>
      </c>
      <c r="F185" s="8">
        <f t="shared" si="2"/>
        <v>12.893689999999998</v>
      </c>
      <c r="K185" s="2">
        <v>-8.5856899999999996</v>
      </c>
      <c r="L185" s="4">
        <v>5.4117199999999999</v>
      </c>
    </row>
    <row r="186" spans="2:12">
      <c r="D186" s="2">
        <v>-22.6404</v>
      </c>
      <c r="E186" s="4">
        <v>1.9905299999999999</v>
      </c>
      <c r="K186" s="2">
        <v>-8.5264100000000003</v>
      </c>
      <c r="L186" s="4">
        <v>5.4503399999999997</v>
      </c>
    </row>
    <row r="187" spans="2:12">
      <c r="D187" s="2">
        <v>-21.6753</v>
      </c>
      <c r="E187" s="4">
        <v>2.0070299999999999</v>
      </c>
      <c r="K187" s="2">
        <v>-8.7181999999999995</v>
      </c>
      <c r="L187" s="4">
        <v>5.4648300000000001</v>
      </c>
    </row>
    <row r="188" spans="2:12">
      <c r="D188" s="2">
        <v>-22.659099999999999</v>
      </c>
      <c r="E188" s="4">
        <v>2.0119500000000001</v>
      </c>
      <c r="K188" s="2">
        <v>-8.3785900000000009</v>
      </c>
      <c r="L188" s="4">
        <v>5.48414</v>
      </c>
    </row>
    <row r="189" spans="2:12">
      <c r="D189" s="2">
        <v>-23.430599999999998</v>
      </c>
      <c r="E189" s="4">
        <v>2.0223100000000001</v>
      </c>
      <c r="K189" s="2">
        <v>-8.5407100000000007</v>
      </c>
      <c r="L189" s="4">
        <v>5.5227599999999999</v>
      </c>
    </row>
    <row r="190" spans="2:12">
      <c r="D190" s="2">
        <v>-22.446300000000001</v>
      </c>
      <c r="E190" s="4">
        <v>2.0388099999999998</v>
      </c>
      <c r="K190" s="2">
        <v>-8.2157099999999996</v>
      </c>
      <c r="L190" s="4">
        <v>5.5662099999999999</v>
      </c>
    </row>
    <row r="191" spans="2:12">
      <c r="D191" s="2">
        <v>-21.828800000000001</v>
      </c>
      <c r="E191" s="4">
        <v>2.0444399999999998</v>
      </c>
      <c r="K191" s="2">
        <v>-8.4665700000000008</v>
      </c>
      <c r="L191" s="4">
        <v>5.5758599999999996</v>
      </c>
    </row>
    <row r="192" spans="2:12">
      <c r="D192" s="2">
        <v>-22.793199999999999</v>
      </c>
      <c r="E192" s="4">
        <v>2.0547200000000001</v>
      </c>
      <c r="K192" s="2">
        <v>-7.9646100000000004</v>
      </c>
      <c r="L192" s="4">
        <v>5.5951700000000004</v>
      </c>
    </row>
    <row r="193" spans="4:12">
      <c r="D193" s="2">
        <v>-21.847100000000001</v>
      </c>
      <c r="E193" s="4">
        <v>2.0846</v>
      </c>
      <c r="K193" s="2">
        <v>-8.1711600000000004</v>
      </c>
      <c r="L193" s="4">
        <v>5.6096599999999999</v>
      </c>
    </row>
    <row r="194" spans="4:12">
      <c r="D194" s="2">
        <v>-23.7377</v>
      </c>
      <c r="E194" s="4">
        <v>2.0891099999999998</v>
      </c>
      <c r="K194" s="2">
        <v>-7.5804099999999996</v>
      </c>
      <c r="L194" s="4">
        <v>5.6627599999999996</v>
      </c>
    </row>
    <row r="195" spans="4:12">
      <c r="D195" s="2">
        <v>-24.489599999999999</v>
      </c>
      <c r="E195" s="4">
        <v>2.1101899999999998</v>
      </c>
      <c r="K195" s="2">
        <v>-7.8899800000000004</v>
      </c>
      <c r="L195" s="4">
        <v>5.7255200000000004</v>
      </c>
    </row>
    <row r="196" spans="4:12">
      <c r="D196" s="2">
        <v>-24.026</v>
      </c>
      <c r="E196" s="4">
        <v>2.13449</v>
      </c>
      <c r="K196" s="2">
        <v>-7.7271599999999996</v>
      </c>
      <c r="L196" s="4">
        <v>5.79793</v>
      </c>
    </row>
    <row r="197" spans="4:12">
      <c r="D197" s="2">
        <v>-22.636800000000001</v>
      </c>
      <c r="E197" s="4">
        <v>2.1404700000000001</v>
      </c>
      <c r="K197" s="2">
        <v>-7.8596399999999997</v>
      </c>
      <c r="L197" s="4">
        <v>5.8558599999999998</v>
      </c>
    </row>
    <row r="198" spans="4:12">
      <c r="D198" s="2">
        <v>-22.906600000000001</v>
      </c>
      <c r="E198" s="4">
        <v>2.1510600000000002</v>
      </c>
      <c r="K198" s="2">
        <v>-7.7857399999999997</v>
      </c>
      <c r="L198" s="4">
        <v>5.8703399999999997</v>
      </c>
    </row>
    <row r="199" spans="4:12">
      <c r="D199" s="2">
        <v>-24.3916</v>
      </c>
      <c r="E199" s="4">
        <v>2.1718099999999998</v>
      </c>
      <c r="K199" s="2">
        <v>-7.9625300000000001</v>
      </c>
      <c r="L199" s="4">
        <v>5.9234499999999999</v>
      </c>
    </row>
    <row r="200" spans="4:12">
      <c r="D200" s="2">
        <v>-23.696899999999999</v>
      </c>
      <c r="E200" s="4">
        <v>2.1801599999999999</v>
      </c>
      <c r="K200" s="2">
        <v>-7.9032799999999996</v>
      </c>
      <c r="L200" s="4">
        <v>5.9572399999999996</v>
      </c>
    </row>
    <row r="201" spans="4:12">
      <c r="D201" s="2">
        <v>-24.0045</v>
      </c>
      <c r="E201" s="4">
        <v>2.2228599999999998</v>
      </c>
      <c r="K201" s="2">
        <v>-8.0654800000000009</v>
      </c>
      <c r="L201" s="4">
        <v>5.9813799999999997</v>
      </c>
    </row>
    <row r="202" spans="4:12">
      <c r="D202" s="2">
        <v>-22.788799999999998</v>
      </c>
      <c r="E202" s="4">
        <v>2.2367900000000001</v>
      </c>
      <c r="K202" s="2">
        <v>-7.9177299999999997</v>
      </c>
      <c r="L202" s="4">
        <v>6.0055199999999997</v>
      </c>
    </row>
    <row r="203" spans="4:12">
      <c r="D203" s="2">
        <v>-22.383299999999998</v>
      </c>
      <c r="E203" s="4">
        <v>2.2503500000000001</v>
      </c>
      <c r="K203" s="2">
        <v>-7.7993100000000002</v>
      </c>
      <c r="L203" s="4">
        <v>6.0586200000000003</v>
      </c>
    </row>
    <row r="204" spans="4:12">
      <c r="D204" s="2">
        <v>-24.216100000000001</v>
      </c>
      <c r="E204" s="4">
        <v>2.2522099999999998</v>
      </c>
      <c r="K204" s="2">
        <v>-7.9910399999999999</v>
      </c>
      <c r="L204" s="4">
        <v>6.0827600000000004</v>
      </c>
    </row>
    <row r="205" spans="4:12">
      <c r="D205" s="2">
        <v>-22.614100000000001</v>
      </c>
      <c r="E205" s="4">
        <v>2.2797000000000001</v>
      </c>
      <c r="K205" s="2">
        <v>-7.81358</v>
      </c>
      <c r="L205" s="4">
        <v>6.1358600000000001</v>
      </c>
    </row>
    <row r="206" spans="4:12">
      <c r="D206" s="2">
        <v>-24.1189</v>
      </c>
      <c r="E206" s="4">
        <v>2.2817099999999999</v>
      </c>
      <c r="K206" s="2">
        <v>-8.1084800000000001</v>
      </c>
      <c r="L206" s="4">
        <v>6.1841400000000002</v>
      </c>
    </row>
    <row r="207" spans="4:12">
      <c r="D207" s="2">
        <v>-23.347000000000001</v>
      </c>
      <c r="E207" s="4">
        <v>2.2900900000000002</v>
      </c>
      <c r="K207" s="2">
        <v>-7.9016599999999997</v>
      </c>
      <c r="L207" s="4">
        <v>6.2130999999999998</v>
      </c>
    </row>
    <row r="208" spans="4:12">
      <c r="D208" s="2">
        <v>-23.230899999999998</v>
      </c>
      <c r="E208" s="4">
        <v>2.3035199999999998</v>
      </c>
      <c r="K208" s="2">
        <v>-8.1523299999999992</v>
      </c>
      <c r="L208" s="4">
        <v>6.2517199999999997</v>
      </c>
    </row>
    <row r="209" spans="4:12">
      <c r="D209" s="2">
        <v>-21.938300000000002</v>
      </c>
      <c r="E209" s="4">
        <v>2.3041</v>
      </c>
      <c r="K209" s="2">
        <v>-7.9603299999999999</v>
      </c>
      <c r="L209" s="4">
        <v>6.2710299999999997</v>
      </c>
    </row>
    <row r="210" spans="4:12">
      <c r="D210" s="2">
        <v>-22.8062</v>
      </c>
      <c r="E210" s="4">
        <v>2.3144200000000001</v>
      </c>
      <c r="K210" s="2">
        <v>-7.9009200000000002</v>
      </c>
      <c r="L210" s="4">
        <v>6.32897</v>
      </c>
    </row>
    <row r="211" spans="4:12">
      <c r="D211" s="2">
        <v>-23.9057</v>
      </c>
      <c r="E211" s="4">
        <v>2.3219599999999998</v>
      </c>
      <c r="K211" s="2">
        <v>-8.5354600000000005</v>
      </c>
      <c r="L211" s="4">
        <v>6.3531000000000004</v>
      </c>
    </row>
    <row r="212" spans="4:12">
      <c r="D212" s="2">
        <v>-22.535599999999999</v>
      </c>
      <c r="E212" s="4">
        <v>2.33596</v>
      </c>
      <c r="K212" s="2">
        <v>-8.1806300000000007</v>
      </c>
      <c r="L212" s="4">
        <v>6.4448299999999996</v>
      </c>
    </row>
    <row r="213" spans="4:12">
      <c r="D213" s="2">
        <v>-24.5609</v>
      </c>
      <c r="E213" s="4">
        <v>2.3511199999999999</v>
      </c>
      <c r="K213" s="2">
        <v>-8.4605899999999998</v>
      </c>
      <c r="L213" s="4">
        <v>6.5220700000000003</v>
      </c>
    </row>
    <row r="214" spans="4:12">
      <c r="D214" s="2">
        <v>-24.348400000000002</v>
      </c>
      <c r="E214" s="4">
        <v>2.3645999999999998</v>
      </c>
      <c r="K214" s="2">
        <v>-8.2537000000000003</v>
      </c>
      <c r="L214" s="4">
        <v>6.5606900000000001</v>
      </c>
    </row>
    <row r="215" spans="4:12">
      <c r="D215" s="2">
        <v>-23.035900000000002</v>
      </c>
      <c r="E215" s="4">
        <v>2.3892899999999999</v>
      </c>
      <c r="K215" s="2">
        <v>-8.4601900000000008</v>
      </c>
      <c r="L215" s="4">
        <v>6.5848300000000002</v>
      </c>
    </row>
    <row r="216" spans="4:12">
      <c r="D216" s="2">
        <v>-23.903600000000001</v>
      </c>
      <c r="E216" s="4">
        <v>2.4076399999999998</v>
      </c>
      <c r="K216" s="2">
        <v>-8.3124699999999994</v>
      </c>
      <c r="L216" s="4">
        <v>6.6041400000000001</v>
      </c>
    </row>
    <row r="217" spans="4:12">
      <c r="D217" s="2">
        <v>-23.382300000000001</v>
      </c>
      <c r="E217" s="4">
        <v>2.42394</v>
      </c>
      <c r="K217" s="2">
        <v>-8.7845800000000001</v>
      </c>
      <c r="L217" s="4">
        <v>6.6379299999999999</v>
      </c>
    </row>
    <row r="218" spans="4:12">
      <c r="D218" s="2">
        <v>-24.192399999999999</v>
      </c>
      <c r="E218" s="4">
        <v>2.4342899999999998</v>
      </c>
      <c r="K218" s="2">
        <v>-8.6958000000000002</v>
      </c>
      <c r="L218" s="4">
        <v>6.6717199999999997</v>
      </c>
    </row>
    <row r="219" spans="4:12">
      <c r="D219" s="2">
        <v>-24.1342</v>
      </c>
      <c r="E219" s="4">
        <v>2.44502</v>
      </c>
      <c r="K219" s="2">
        <v>-8.0757899999999996</v>
      </c>
      <c r="L219" s="4">
        <v>6.68621</v>
      </c>
    </row>
    <row r="220" spans="4:12">
      <c r="D220" s="2">
        <v>-23.034400000000002</v>
      </c>
      <c r="E220" s="4">
        <v>2.4508700000000001</v>
      </c>
      <c r="K220" s="2">
        <v>-8.0165600000000001</v>
      </c>
      <c r="L220" s="4">
        <v>6.7151699999999996</v>
      </c>
    </row>
    <row r="221" spans="4:12">
      <c r="D221" s="2">
        <v>-23.304500000000001</v>
      </c>
      <c r="E221" s="4">
        <v>2.4534199999999999</v>
      </c>
      <c r="K221" s="2">
        <v>-7.7212699999999996</v>
      </c>
      <c r="L221" s="4">
        <v>6.72966</v>
      </c>
    </row>
    <row r="222" spans="4:12">
      <c r="D222" s="2">
        <v>-22.783000000000001</v>
      </c>
      <c r="E222" s="4">
        <v>2.4750800000000002</v>
      </c>
      <c r="K222" s="2">
        <v>-8.2819699999999994</v>
      </c>
      <c r="L222" s="4">
        <v>6.7586199999999996</v>
      </c>
    </row>
    <row r="223" spans="4:12">
      <c r="D223" s="2">
        <v>-23.631799999999998</v>
      </c>
      <c r="E223" s="4">
        <v>2.4773700000000001</v>
      </c>
      <c r="K223" s="2">
        <v>-8.3554300000000001</v>
      </c>
      <c r="L223" s="4">
        <v>6.8117200000000002</v>
      </c>
    </row>
    <row r="224" spans="4:12">
      <c r="D224" s="2">
        <v>-24.056000000000001</v>
      </c>
      <c r="E224" s="4">
        <v>2.4878900000000002</v>
      </c>
      <c r="K224" s="2">
        <v>-7.0416600000000003</v>
      </c>
      <c r="L224" s="4">
        <v>6.8310300000000002</v>
      </c>
    </row>
    <row r="225" spans="4:12">
      <c r="D225" s="2">
        <v>-22.7439</v>
      </c>
      <c r="E225" s="4">
        <v>2.49919</v>
      </c>
      <c r="K225" s="2">
        <v>-6.7610000000000001</v>
      </c>
      <c r="L225" s="4">
        <v>6.8648300000000004</v>
      </c>
    </row>
    <row r="226" spans="4:12">
      <c r="D226" s="2">
        <v>-23.0716</v>
      </c>
      <c r="E226" s="4">
        <v>2.5070800000000002</v>
      </c>
      <c r="K226" s="2">
        <v>-7.9119299999999999</v>
      </c>
      <c r="L226" s="4">
        <v>6.9227600000000002</v>
      </c>
    </row>
    <row r="227" spans="4:12">
      <c r="D227" s="2">
        <v>-23.901199999999999</v>
      </c>
      <c r="E227" s="4">
        <v>2.5093800000000002</v>
      </c>
      <c r="K227" s="2">
        <v>-7.5721999999999996</v>
      </c>
      <c r="L227" s="4">
        <v>6.9613800000000001</v>
      </c>
    </row>
    <row r="228" spans="4:12">
      <c r="D228" s="2">
        <v>-22.068000000000001</v>
      </c>
      <c r="E228" s="4">
        <v>2.52359</v>
      </c>
    </row>
    <row r="229" spans="4:12">
      <c r="D229" s="2">
        <v>-23.8811</v>
      </c>
      <c r="E229" s="4">
        <v>2.5415199999999998</v>
      </c>
    </row>
    <row r="230" spans="4:12">
      <c r="D230" s="2">
        <v>-23.5336</v>
      </c>
      <c r="E230" s="4">
        <v>2.5523799999999999</v>
      </c>
    </row>
    <row r="231" spans="4:12">
      <c r="D231" s="2">
        <v>-24.1311</v>
      </c>
      <c r="E231" s="4">
        <v>2.5762100000000001</v>
      </c>
    </row>
    <row r="232" spans="4:12">
      <c r="D232" s="2">
        <v>-21.738800000000001</v>
      </c>
      <c r="E232" s="4">
        <v>2.57728</v>
      </c>
    </row>
    <row r="233" spans="4:12">
      <c r="D233" s="2">
        <v>-23.146699999999999</v>
      </c>
      <c r="E233" s="4">
        <v>2.5954000000000002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29"/>
  <sheetViews>
    <sheetView tabSelected="1" workbookViewId="0">
      <selection activeCell="S30" sqref="S30"/>
    </sheetView>
  </sheetViews>
  <sheetFormatPr baseColWidth="10" defaultRowHeight="15"/>
  <cols>
    <col min="1" max="1" width="8.83203125" customWidth="1"/>
    <col min="2" max="2" width="9.5" style="18" bestFit="1" customWidth="1"/>
    <col min="3" max="3" width="9" style="4" customWidth="1"/>
    <col min="4" max="4" width="9" style="2" customWidth="1"/>
    <col min="5" max="8" width="8.83203125" customWidth="1"/>
    <col min="9" max="9" width="9" style="4" customWidth="1"/>
    <col min="10" max="10" width="9" style="2" customWidth="1"/>
    <col min="11" max="256" width="8.83203125" customWidth="1"/>
  </cols>
  <sheetData>
    <row r="1" spans="1:10">
      <c r="B1" s="4" t="s">
        <v>33</v>
      </c>
      <c r="C1" s="4" t="s">
        <v>5</v>
      </c>
      <c r="D1" s="2" t="s">
        <v>3</v>
      </c>
      <c r="H1" s="4" t="s">
        <v>33</v>
      </c>
      <c r="I1" s="4" t="s">
        <v>5</v>
      </c>
      <c r="J1" s="2" t="s">
        <v>6</v>
      </c>
    </row>
    <row r="2" spans="1:10">
      <c r="A2" t="s">
        <v>34</v>
      </c>
      <c r="B2" s="18">
        <f>C2*1000</f>
        <v>9.1834499999999988</v>
      </c>
      <c r="C2" s="4">
        <v>9.1834499999999993E-3</v>
      </c>
      <c r="D2" s="2">
        <v>-7.6874900000000004</v>
      </c>
      <c r="H2" s="18">
        <f>I2*1000</f>
        <v>14.489000000000001</v>
      </c>
      <c r="I2" s="4">
        <v>1.4489E-2</v>
      </c>
      <c r="J2" s="2">
        <v>-22.958100000000002</v>
      </c>
    </row>
    <row r="3" spans="1:10">
      <c r="A3" t="s">
        <v>34</v>
      </c>
      <c r="B3" s="18">
        <f t="shared" ref="B3:B66" si="0">C3*1000</f>
        <v>12.430399999999999</v>
      </c>
      <c r="C3" s="4">
        <v>1.2430399999999999E-2</v>
      </c>
      <c r="D3" s="2">
        <v>-7.0468400000000004</v>
      </c>
      <c r="H3" s="18">
        <f t="shared" ref="H3:H66" si="1">I3*1000</f>
        <v>20.145099999999999</v>
      </c>
      <c r="I3" s="4">
        <v>2.0145099999999999E-2</v>
      </c>
      <c r="J3" s="2">
        <v>-22.282699999999998</v>
      </c>
    </row>
    <row r="4" spans="1:10">
      <c r="B4" s="18">
        <f t="shared" si="0"/>
        <v>39.270099999999999</v>
      </c>
      <c r="C4" s="4">
        <v>3.9270100000000002E-2</v>
      </c>
      <c r="D4" s="2">
        <v>-6.9528800000000004</v>
      </c>
      <c r="H4" s="18">
        <f t="shared" si="1"/>
        <v>33.428800000000003</v>
      </c>
      <c r="I4" s="4">
        <v>3.3428800000000002E-2</v>
      </c>
      <c r="J4" s="2">
        <v>-22.5139</v>
      </c>
    </row>
    <row r="5" spans="1:10">
      <c r="B5" s="18">
        <f t="shared" si="0"/>
        <v>46.544400000000003</v>
      </c>
      <c r="C5" s="4">
        <v>4.65444E-2</v>
      </c>
      <c r="D5" s="2">
        <v>-7.79657</v>
      </c>
      <c r="H5" s="18">
        <f t="shared" si="1"/>
        <v>42.167000000000002</v>
      </c>
      <c r="I5" s="4">
        <v>4.2167000000000003E-2</v>
      </c>
      <c r="J5" s="2">
        <v>-20.931699999999999</v>
      </c>
    </row>
    <row r="6" spans="1:10">
      <c r="A6" t="s">
        <v>36</v>
      </c>
      <c r="B6" s="18">
        <f t="shared" si="0"/>
        <v>71.962599999999995</v>
      </c>
      <c r="C6" s="4">
        <v>7.1962600000000002E-2</v>
      </c>
      <c r="D6" s="2">
        <v>-6.2963800000000001</v>
      </c>
      <c r="E6" s="19">
        <f>AVERAGE(D6:D9)</f>
        <v>-7.3156125000000003</v>
      </c>
      <c r="F6" s="19">
        <f>_xlfn.STDEV.S(D6:D9)</f>
        <v>0.8003591518551737</v>
      </c>
      <c r="H6" s="18">
        <f t="shared" si="1"/>
        <v>50.741599999999998</v>
      </c>
      <c r="I6" s="4">
        <v>5.0741599999999998E-2</v>
      </c>
      <c r="J6" s="2">
        <v>-19.716100000000001</v>
      </c>
    </row>
    <row r="7" spans="1:10">
      <c r="A7" t="s">
        <v>36</v>
      </c>
      <c r="B7" s="18">
        <f t="shared" si="0"/>
        <v>105.854</v>
      </c>
      <c r="C7" s="4">
        <v>0.105854</v>
      </c>
      <c r="D7" s="2">
        <v>-7.2961099999999997</v>
      </c>
      <c r="H7" s="18">
        <f t="shared" si="1"/>
        <v>55.8123</v>
      </c>
      <c r="I7" s="4">
        <v>5.5812300000000002E-2</v>
      </c>
      <c r="J7" s="2">
        <v>-20.352599999999999</v>
      </c>
    </row>
    <row r="8" spans="1:10">
      <c r="A8" t="s">
        <v>35</v>
      </c>
      <c r="B8" s="18">
        <f t="shared" si="0"/>
        <v>121.057</v>
      </c>
      <c r="C8" s="4">
        <v>0.121057</v>
      </c>
      <c r="D8" s="2">
        <v>-8.2491199999999996</v>
      </c>
      <c r="H8" s="18">
        <f t="shared" si="1"/>
        <v>60.607500000000002</v>
      </c>
      <c r="I8" s="4">
        <v>6.0607500000000002E-2</v>
      </c>
      <c r="J8" s="2">
        <v>-21.6065</v>
      </c>
    </row>
    <row r="9" spans="1:10">
      <c r="A9" t="s">
        <v>36</v>
      </c>
      <c r="B9" s="18">
        <f t="shared" si="0"/>
        <v>140.52500000000001</v>
      </c>
      <c r="C9" s="4">
        <v>0.14052500000000001</v>
      </c>
      <c r="D9" s="2">
        <v>-7.4208400000000001</v>
      </c>
      <c r="H9" s="18">
        <f t="shared" si="1"/>
        <v>68.260899999999992</v>
      </c>
      <c r="I9" s="4">
        <v>6.8260899999999999E-2</v>
      </c>
      <c r="J9" s="2">
        <v>-22.455200000000001</v>
      </c>
    </row>
    <row r="10" spans="1:10">
      <c r="B10" s="18">
        <f t="shared" si="0"/>
        <v>148.34299999999999</v>
      </c>
      <c r="C10" s="4">
        <v>0.148343</v>
      </c>
      <c r="D10" s="2">
        <v>-4.6551499999999999</v>
      </c>
      <c r="G10" t="s">
        <v>36</v>
      </c>
      <c r="H10" s="18">
        <f t="shared" si="1"/>
        <v>91.376100000000008</v>
      </c>
      <c r="I10" s="4">
        <v>9.1376100000000002E-2</v>
      </c>
      <c r="J10" s="2">
        <v>-18.654</v>
      </c>
    </row>
    <row r="11" spans="1:10">
      <c r="B11" s="18">
        <f t="shared" si="0"/>
        <v>156.941</v>
      </c>
      <c r="C11" s="4">
        <v>0.156941</v>
      </c>
      <c r="D11" s="2">
        <v>-4.0144599999999997</v>
      </c>
      <c r="G11" t="s">
        <v>36</v>
      </c>
      <c r="H11" s="18">
        <f t="shared" si="1"/>
        <v>92.159599999999998</v>
      </c>
      <c r="I11" s="4">
        <v>9.2159599999999994E-2</v>
      </c>
      <c r="J11" s="2">
        <v>-16.898399999999999</v>
      </c>
    </row>
    <row r="12" spans="1:10">
      <c r="B12" s="18">
        <f t="shared" si="0"/>
        <v>167.69899999999998</v>
      </c>
      <c r="C12" s="4">
        <v>0.16769899999999999</v>
      </c>
      <c r="D12" s="2">
        <v>-6.9518800000000001</v>
      </c>
      <c r="G12" t="s">
        <v>36</v>
      </c>
      <c r="H12" s="18">
        <f t="shared" si="1"/>
        <v>109.80800000000001</v>
      </c>
      <c r="I12" s="4">
        <v>0.109808</v>
      </c>
      <c r="J12" s="2">
        <v>-19.348099999999999</v>
      </c>
    </row>
    <row r="13" spans="1:10">
      <c r="B13" s="18">
        <f t="shared" si="0"/>
        <v>168.98099999999999</v>
      </c>
      <c r="C13" s="4">
        <v>0.16898099999999999</v>
      </c>
      <c r="D13" s="2">
        <v>-5.5143700000000004</v>
      </c>
      <c r="G13" t="s">
        <v>47</v>
      </c>
      <c r="H13" s="18">
        <f t="shared" si="1"/>
        <v>112.21899999999999</v>
      </c>
      <c r="I13" s="4">
        <v>0.112219</v>
      </c>
      <c r="J13" s="2">
        <v>-19.946100000000001</v>
      </c>
    </row>
    <row r="14" spans="1:10">
      <c r="B14" s="18">
        <f t="shared" si="0"/>
        <v>180.143</v>
      </c>
      <c r="C14" s="4">
        <v>0.180143</v>
      </c>
      <c r="D14" s="2">
        <v>-4.9986600000000001</v>
      </c>
      <c r="G14" t="s">
        <v>36</v>
      </c>
      <c r="H14" s="18">
        <f t="shared" si="1"/>
        <v>126.03600000000002</v>
      </c>
      <c r="I14" s="4">
        <v>0.12603600000000001</v>
      </c>
      <c r="J14" s="2">
        <v>-18.981200000000001</v>
      </c>
    </row>
    <row r="15" spans="1:10">
      <c r="A15" t="s">
        <v>38</v>
      </c>
      <c r="B15" s="18">
        <f t="shared" si="0"/>
        <v>207.875</v>
      </c>
      <c r="C15" s="4">
        <v>0.207875</v>
      </c>
      <c r="D15" s="2">
        <v>-6.9046900000000004</v>
      </c>
      <c r="E15" s="19">
        <f>AVERAGE(D15:D19)</f>
        <v>-7.7872300000000001</v>
      </c>
      <c r="F15" s="19">
        <f>_xlfn.STDEV.S(D15:D19)</f>
        <v>0.71803053068793643</v>
      </c>
      <c r="H15" s="18">
        <f t="shared" si="1"/>
        <v>127.53400000000001</v>
      </c>
      <c r="I15" s="4">
        <v>0.12753400000000001</v>
      </c>
      <c r="J15" s="2">
        <v>-21.624199999999998</v>
      </c>
    </row>
    <row r="16" spans="1:10">
      <c r="A16" t="s">
        <v>39</v>
      </c>
      <c r="B16" s="18">
        <f t="shared" si="0"/>
        <v>227.81699999999998</v>
      </c>
      <c r="C16" s="4">
        <v>0.22781699999999999</v>
      </c>
      <c r="D16" s="2">
        <v>-8.5451599999999992</v>
      </c>
      <c r="H16" s="18">
        <f t="shared" si="1"/>
        <v>130.642</v>
      </c>
      <c r="I16" s="4">
        <v>0.13064200000000001</v>
      </c>
      <c r="J16" s="2">
        <v>-20.659500000000001</v>
      </c>
    </row>
    <row r="17" spans="1:10">
      <c r="A17" t="s">
        <v>37</v>
      </c>
      <c r="B17" s="18">
        <f t="shared" si="0"/>
        <v>257.45699999999999</v>
      </c>
      <c r="C17" s="4">
        <v>0.25745699999999999</v>
      </c>
      <c r="H17" s="18">
        <f t="shared" si="1"/>
        <v>152.56</v>
      </c>
      <c r="I17" s="4">
        <v>0.15256</v>
      </c>
      <c r="J17" s="2">
        <v>-19.54</v>
      </c>
    </row>
    <row r="18" spans="1:10">
      <c r="A18" t="s">
        <v>37</v>
      </c>
      <c r="B18" s="18">
        <f t="shared" si="0"/>
        <v>260.81599999999997</v>
      </c>
      <c r="C18" s="4">
        <v>0.26081599999999999</v>
      </c>
      <c r="D18" s="2">
        <v>-7.5449000000000002</v>
      </c>
      <c r="H18" s="18">
        <f t="shared" si="1"/>
        <v>155.67700000000002</v>
      </c>
      <c r="I18" s="4">
        <v>0.15567700000000001</v>
      </c>
      <c r="J18" s="2">
        <v>-18.556000000000001</v>
      </c>
    </row>
    <row r="19" spans="1:10">
      <c r="A19" t="s">
        <v>37</v>
      </c>
      <c r="B19" s="18">
        <f t="shared" si="0"/>
        <v>273.64999999999998</v>
      </c>
      <c r="C19" s="4">
        <v>0.27365</v>
      </c>
      <c r="D19" s="2">
        <v>-8.1541700000000006</v>
      </c>
      <c r="H19" s="18">
        <f t="shared" si="1"/>
        <v>165.30199999999999</v>
      </c>
      <c r="I19" s="4">
        <v>0.165302</v>
      </c>
      <c r="J19" s="2">
        <v>-20.986599999999999</v>
      </c>
    </row>
    <row r="20" spans="1:10">
      <c r="B20" s="18">
        <f t="shared" si="0"/>
        <v>290.27499999999998</v>
      </c>
      <c r="C20" s="4">
        <v>0.29027500000000001</v>
      </c>
      <c r="D20" s="2">
        <v>-4.51342</v>
      </c>
      <c r="H20" s="18">
        <f t="shared" si="1"/>
        <v>187.46099999999998</v>
      </c>
      <c r="I20" s="4">
        <v>0.18746099999999999</v>
      </c>
      <c r="J20" s="2">
        <v>-19.326899999999998</v>
      </c>
    </row>
    <row r="21" spans="1:10">
      <c r="B21" s="18">
        <f t="shared" si="0"/>
        <v>294.01</v>
      </c>
      <c r="C21" s="4">
        <v>0.29400999999999999</v>
      </c>
      <c r="D21" s="2">
        <v>-6.3258900000000002</v>
      </c>
      <c r="H21" s="18">
        <f t="shared" si="1"/>
        <v>187.97800000000001</v>
      </c>
      <c r="I21" s="4">
        <v>0.18797800000000001</v>
      </c>
      <c r="J21" s="2">
        <v>-18.1694</v>
      </c>
    </row>
    <row r="22" spans="1:10">
      <c r="A22" t="s">
        <v>41</v>
      </c>
      <c r="B22" s="18">
        <f t="shared" si="0"/>
        <v>303.75099999999998</v>
      </c>
      <c r="C22" s="4">
        <v>0.30375099999999999</v>
      </c>
      <c r="D22" s="2">
        <v>-7.4039400000000004</v>
      </c>
      <c r="E22" s="19">
        <f>AVERAGE(D22:D25)</f>
        <v>-7.3022600000000004</v>
      </c>
      <c r="F22" s="19">
        <f>_xlfn.STDEV.S(D22:D25)</f>
        <v>0.14379723502209629</v>
      </c>
      <c r="H22" s="18">
        <f t="shared" si="1"/>
        <v>193.83199999999999</v>
      </c>
      <c r="I22" s="4">
        <v>0.193832</v>
      </c>
      <c r="J22" s="2">
        <v>-23.0503</v>
      </c>
    </row>
    <row r="23" spans="1:10">
      <c r="A23" t="s">
        <v>41</v>
      </c>
      <c r="B23" s="18">
        <f t="shared" si="0"/>
        <v>304.113</v>
      </c>
      <c r="C23" s="4">
        <v>0.30411300000000002</v>
      </c>
      <c r="H23" s="18">
        <f t="shared" si="1"/>
        <v>194.63300000000001</v>
      </c>
      <c r="I23" s="4">
        <v>0.194633</v>
      </c>
      <c r="J23" s="2">
        <v>-21.256</v>
      </c>
    </row>
    <row r="24" spans="1:10">
      <c r="A24" t="s">
        <v>40</v>
      </c>
      <c r="B24" s="18">
        <f t="shared" si="0"/>
        <v>321.56</v>
      </c>
      <c r="C24" s="4">
        <v>0.32156000000000001</v>
      </c>
      <c r="H24" s="18">
        <f t="shared" si="1"/>
        <v>201.709</v>
      </c>
      <c r="I24" s="4">
        <v>0.201709</v>
      </c>
      <c r="J24" s="2">
        <v>-23.397300000000001</v>
      </c>
    </row>
    <row r="25" spans="1:10">
      <c r="A25" t="s">
        <v>40</v>
      </c>
      <c r="B25" s="18">
        <f t="shared" si="0"/>
        <v>333.36399999999998</v>
      </c>
      <c r="C25" s="4">
        <v>0.33336399999999999</v>
      </c>
      <c r="D25" s="2">
        <v>-7.2005800000000004</v>
      </c>
      <c r="H25" s="18">
        <f t="shared" si="1"/>
        <v>220.554</v>
      </c>
      <c r="I25" s="4">
        <v>0.220554</v>
      </c>
      <c r="J25" s="2">
        <v>-23.165400000000002</v>
      </c>
    </row>
    <row r="26" spans="1:10">
      <c r="B26" s="18">
        <f t="shared" si="0"/>
        <v>357.38799999999998</v>
      </c>
      <c r="C26" s="4">
        <v>0.35738799999999998</v>
      </c>
      <c r="D26" s="2">
        <v>-4.2629000000000001</v>
      </c>
      <c r="G26" t="s">
        <v>38</v>
      </c>
      <c r="H26" s="18">
        <f t="shared" si="1"/>
        <v>221.91499999999999</v>
      </c>
      <c r="I26" s="4">
        <v>0.221915</v>
      </c>
      <c r="J26" s="2">
        <v>-20.117100000000001</v>
      </c>
    </row>
    <row r="27" spans="1:10">
      <c r="B27" s="18">
        <f t="shared" si="0"/>
        <v>374.08300000000003</v>
      </c>
      <c r="C27" s="4">
        <v>0.374083</v>
      </c>
      <c r="D27" s="2">
        <v>-3.5440200000000002</v>
      </c>
      <c r="G27" t="s">
        <v>38</v>
      </c>
      <c r="H27" s="18">
        <f t="shared" si="1"/>
        <v>229.405</v>
      </c>
      <c r="I27" s="4">
        <v>0.229405</v>
      </c>
      <c r="J27" s="2">
        <v>-21.3324</v>
      </c>
    </row>
    <row r="28" spans="1:10">
      <c r="B28" s="18">
        <f t="shared" si="0"/>
        <v>383.89299999999997</v>
      </c>
      <c r="C28" s="4">
        <v>0.38389299999999998</v>
      </c>
      <c r="D28" s="2">
        <v>-4.5439400000000001</v>
      </c>
      <c r="G28" t="s">
        <v>38</v>
      </c>
      <c r="H28" s="18">
        <f t="shared" si="1"/>
        <v>238.143</v>
      </c>
      <c r="I28" s="4">
        <v>0.23814299999999999</v>
      </c>
      <c r="J28" s="2">
        <v>-19.7502</v>
      </c>
    </row>
    <row r="29" spans="1:10">
      <c r="B29" s="18">
        <f t="shared" si="0"/>
        <v>424.30600000000004</v>
      </c>
      <c r="C29" s="4">
        <v>0.42430600000000002</v>
      </c>
      <c r="D29" s="2">
        <v>-4.2311199999999998</v>
      </c>
      <c r="H29" s="18">
        <f t="shared" si="1"/>
        <v>245.06399999999999</v>
      </c>
      <c r="I29" s="4">
        <v>0.245064</v>
      </c>
      <c r="J29" s="2">
        <v>-22.238700000000001</v>
      </c>
    </row>
    <row r="30" spans="1:10">
      <c r="A30" t="s">
        <v>44</v>
      </c>
      <c r="B30" s="18">
        <f t="shared" si="0"/>
        <v>447.06299999999999</v>
      </c>
      <c r="C30" s="4">
        <v>0.44706299999999999</v>
      </c>
      <c r="D30" s="2">
        <v>-8.7153200000000002</v>
      </c>
      <c r="E30" s="2">
        <v>-8.7153200000000002</v>
      </c>
      <c r="H30" s="18">
        <f t="shared" si="1"/>
        <v>252.74400000000003</v>
      </c>
      <c r="I30" s="4">
        <v>0.25274400000000002</v>
      </c>
      <c r="J30" s="2">
        <v>-23.029499999999999</v>
      </c>
    </row>
    <row r="31" spans="1:10">
      <c r="B31" s="18">
        <f t="shared" si="0"/>
        <v>450.56099999999998</v>
      </c>
      <c r="C31" s="4">
        <v>0.45056099999999999</v>
      </c>
      <c r="D31" s="2">
        <v>-4.7934200000000002</v>
      </c>
      <c r="H31" s="18">
        <f t="shared" si="1"/>
        <v>265.64</v>
      </c>
      <c r="I31" s="4">
        <v>0.26563999999999999</v>
      </c>
      <c r="J31" s="2">
        <v>-18.128900000000002</v>
      </c>
    </row>
    <row r="32" spans="1:10">
      <c r="B32" s="18">
        <f t="shared" si="0"/>
        <v>456.09300000000002</v>
      </c>
      <c r="C32" s="4">
        <v>0.45609300000000003</v>
      </c>
      <c r="D32" s="2">
        <v>-7.5902500000000002</v>
      </c>
      <c r="H32" s="18">
        <f t="shared" si="1"/>
        <v>280.41300000000001</v>
      </c>
      <c r="I32" s="4">
        <v>0.28041300000000002</v>
      </c>
      <c r="J32" s="2">
        <v>-21.022500000000001</v>
      </c>
    </row>
    <row r="33" spans="1:10">
      <c r="A33" t="s">
        <v>43</v>
      </c>
      <c r="B33" s="18">
        <f t="shared" si="0"/>
        <v>484.35399999999998</v>
      </c>
      <c r="C33" s="4">
        <v>0.48435400000000001</v>
      </c>
      <c r="E33" s="19">
        <f>AVERAGE(D34:D42)</f>
        <v>-7.6480012500000001</v>
      </c>
      <c r="F33" s="19">
        <f>_xlfn.STDEV.S(D34:D42)</f>
        <v>0.71740487095477889</v>
      </c>
      <c r="H33" s="18">
        <f t="shared" si="1"/>
        <v>290.24400000000003</v>
      </c>
      <c r="I33" s="4">
        <v>0.290244</v>
      </c>
      <c r="J33" s="2">
        <v>-22.990100000000002</v>
      </c>
    </row>
    <row r="34" spans="1:10">
      <c r="A34" t="s">
        <v>43</v>
      </c>
      <c r="B34" s="18">
        <f t="shared" si="0"/>
        <v>501.67599999999999</v>
      </c>
      <c r="C34" s="4">
        <v>0.50167600000000001</v>
      </c>
      <c r="D34" s="2">
        <v>-7.4805200000000003</v>
      </c>
      <c r="H34" s="18">
        <f t="shared" si="1"/>
        <v>308.90899999999999</v>
      </c>
      <c r="I34" s="4">
        <v>0.30890899999999999</v>
      </c>
      <c r="J34" s="2">
        <v>-23.1632</v>
      </c>
    </row>
    <row r="35" spans="1:10">
      <c r="A35" t="s">
        <v>42</v>
      </c>
      <c r="B35" s="18">
        <f t="shared" si="0"/>
        <v>511.91800000000001</v>
      </c>
      <c r="C35" s="4">
        <v>0.51191799999999998</v>
      </c>
      <c r="G35" t="s">
        <v>41</v>
      </c>
      <c r="H35" s="18">
        <f t="shared" si="1"/>
        <v>320.70300000000003</v>
      </c>
      <c r="I35" s="4">
        <v>0.32070300000000002</v>
      </c>
      <c r="J35" s="2">
        <v>-20.732099999999999</v>
      </c>
    </row>
    <row r="36" spans="1:10">
      <c r="A36" t="s">
        <v>42</v>
      </c>
      <c r="B36" s="18">
        <f t="shared" si="0"/>
        <v>522.48099999999999</v>
      </c>
      <c r="C36" s="4">
        <v>0.52248099999999997</v>
      </c>
      <c r="D36" s="2">
        <v>-8.1522299999999994</v>
      </c>
      <c r="G36" t="s">
        <v>41</v>
      </c>
      <c r="H36" s="18">
        <f t="shared" si="1"/>
        <v>326.43699999999995</v>
      </c>
      <c r="I36" s="4">
        <v>0.32643699999999998</v>
      </c>
      <c r="J36" s="2">
        <v>-19.883099999999999</v>
      </c>
    </row>
    <row r="37" spans="1:10">
      <c r="A37" t="s">
        <v>42</v>
      </c>
      <c r="B37" s="18">
        <f t="shared" si="0"/>
        <v>540.05400000000009</v>
      </c>
      <c r="C37" s="4">
        <v>0.54005400000000003</v>
      </c>
      <c r="D37" s="2">
        <v>-6.4489700000000001</v>
      </c>
      <c r="G37" t="s">
        <v>48</v>
      </c>
      <c r="H37" s="18">
        <f t="shared" si="1"/>
        <v>337.27600000000001</v>
      </c>
      <c r="I37" s="4">
        <v>0.33727600000000002</v>
      </c>
      <c r="J37" s="2">
        <v>-19.593399999999999</v>
      </c>
    </row>
    <row r="38" spans="1:10">
      <c r="A38" t="s">
        <v>42</v>
      </c>
      <c r="B38" s="18">
        <f t="shared" si="0"/>
        <v>547.13299999999992</v>
      </c>
      <c r="C38" s="4">
        <v>0.54713299999999998</v>
      </c>
      <c r="D38" s="2">
        <v>-7.5114099999999997</v>
      </c>
      <c r="G38" t="s">
        <v>49</v>
      </c>
      <c r="H38" s="18">
        <f t="shared" si="1"/>
        <v>344.33499999999998</v>
      </c>
      <c r="I38" s="4">
        <v>0.344335</v>
      </c>
      <c r="J38" s="2">
        <v>-21.773299999999999</v>
      </c>
    </row>
    <row r="39" spans="1:10">
      <c r="A39" t="s">
        <v>42</v>
      </c>
      <c r="B39" s="18">
        <f t="shared" si="0"/>
        <v>579.38</v>
      </c>
      <c r="C39" s="4">
        <v>0.57938000000000001</v>
      </c>
      <c r="D39" s="2">
        <v>-7.3549100000000003</v>
      </c>
      <c r="G39" t="s">
        <v>41</v>
      </c>
      <c r="H39" s="18">
        <f t="shared" si="1"/>
        <v>358.798</v>
      </c>
      <c r="I39" s="4">
        <v>0.35879800000000001</v>
      </c>
      <c r="J39" s="2">
        <v>-19.3614</v>
      </c>
    </row>
    <row r="40" spans="1:10">
      <c r="A40" t="s">
        <v>42</v>
      </c>
      <c r="B40" s="18">
        <f t="shared" si="0"/>
        <v>586.05499999999995</v>
      </c>
      <c r="C40" s="4">
        <v>0.58605499999999999</v>
      </c>
      <c r="D40" s="2">
        <v>-8.8704800000000006</v>
      </c>
      <c r="H40" s="18">
        <f t="shared" si="1"/>
        <v>373.21800000000002</v>
      </c>
      <c r="I40" s="4">
        <v>0.37321799999999999</v>
      </c>
      <c r="J40" s="2">
        <v>-23.0459</v>
      </c>
    </row>
    <row r="41" spans="1:10">
      <c r="A41" t="s">
        <v>42</v>
      </c>
      <c r="B41" s="18">
        <f t="shared" si="0"/>
        <v>613.53500000000008</v>
      </c>
      <c r="C41" s="4">
        <v>0.61353500000000005</v>
      </c>
      <c r="D41" s="2">
        <v>-8.0577699999999997</v>
      </c>
      <c r="H41" s="18">
        <f t="shared" si="1"/>
        <v>388.68</v>
      </c>
      <c r="I41" s="4">
        <v>0.38868000000000003</v>
      </c>
      <c r="J41" s="2">
        <v>-24.396000000000001</v>
      </c>
    </row>
    <row r="42" spans="1:10">
      <c r="A42" t="s">
        <v>43</v>
      </c>
      <c r="B42" s="18">
        <f t="shared" si="0"/>
        <v>619.55600000000004</v>
      </c>
      <c r="C42" s="4">
        <v>0.619556</v>
      </c>
      <c r="D42" s="2">
        <v>-7.3077199999999998</v>
      </c>
      <c r="G42" t="s">
        <v>44</v>
      </c>
      <c r="H42" s="18">
        <f t="shared" si="1"/>
        <v>424.70000000000005</v>
      </c>
      <c r="I42" s="4">
        <v>0.42470000000000002</v>
      </c>
      <c r="J42" s="2">
        <v>-21.674900000000001</v>
      </c>
    </row>
    <row r="43" spans="1:10">
      <c r="B43" s="18">
        <f t="shared" si="0"/>
        <v>631.47</v>
      </c>
      <c r="C43" s="4">
        <v>0.63146999999999998</v>
      </c>
      <c r="D43" s="2">
        <v>-8.9482499999999998</v>
      </c>
      <c r="H43" s="18">
        <f t="shared" si="1"/>
        <v>432.13800000000003</v>
      </c>
      <c r="I43" s="4">
        <v>0.43213800000000002</v>
      </c>
      <c r="J43" s="2">
        <v>-23.0059</v>
      </c>
    </row>
    <row r="44" spans="1:10">
      <c r="B44" s="18">
        <f t="shared" si="0"/>
        <v>660.4</v>
      </c>
      <c r="C44" s="4">
        <v>0.66039999999999999</v>
      </c>
      <c r="D44" s="2">
        <v>-6.5105300000000002</v>
      </c>
      <c r="H44" s="18">
        <f t="shared" si="1"/>
        <v>439.81799999999998</v>
      </c>
      <c r="I44" s="4">
        <v>0.43981799999999999</v>
      </c>
      <c r="J44" s="2">
        <v>-23.796700000000001</v>
      </c>
    </row>
    <row r="45" spans="1:10">
      <c r="A45" t="s">
        <v>45</v>
      </c>
      <c r="B45" s="18">
        <f t="shared" si="0"/>
        <v>672.35699999999997</v>
      </c>
      <c r="C45" s="4">
        <v>0.67235699999999998</v>
      </c>
      <c r="D45" s="2">
        <v>-8.1041799999999995</v>
      </c>
      <c r="E45" s="19">
        <f>AVERAGE(D45:D46)</f>
        <v>-7.2056349999999991</v>
      </c>
      <c r="F45" s="19">
        <f>_xlfn.STDEV.S(D45:D46)</f>
        <v>1.2707345254025419</v>
      </c>
      <c r="H45" s="18">
        <f t="shared" si="1"/>
        <v>442.31399999999996</v>
      </c>
      <c r="I45" s="4">
        <v>0.44231399999999998</v>
      </c>
      <c r="J45" s="2">
        <v>-24.201799999999999</v>
      </c>
    </row>
    <row r="46" spans="1:10">
      <c r="A46" t="s">
        <v>45</v>
      </c>
      <c r="B46" s="18">
        <f t="shared" si="0"/>
        <v>700.71600000000001</v>
      </c>
      <c r="C46" s="4">
        <v>0.70071600000000001</v>
      </c>
      <c r="D46" s="2">
        <v>-6.3070899999999996</v>
      </c>
      <c r="H46" s="18">
        <f t="shared" si="1"/>
        <v>459.05899999999997</v>
      </c>
      <c r="I46" s="4">
        <v>0.45905899999999999</v>
      </c>
      <c r="J46" s="2">
        <v>-22.677299999999999</v>
      </c>
    </row>
    <row r="47" spans="1:10">
      <c r="B47" s="18">
        <f t="shared" si="0"/>
        <v>725.68799999999999</v>
      </c>
      <c r="C47" s="4">
        <v>0.725688</v>
      </c>
      <c r="D47" s="2">
        <v>-8.3068899999999992</v>
      </c>
      <c r="G47" t="s">
        <v>43</v>
      </c>
      <c r="H47" s="18">
        <f t="shared" si="1"/>
        <v>472.62700000000001</v>
      </c>
      <c r="I47" s="4">
        <v>0.47262700000000002</v>
      </c>
      <c r="J47" s="2">
        <v>-22.271799999999999</v>
      </c>
    </row>
    <row r="48" spans="1:10">
      <c r="B48" s="18">
        <f t="shared" si="0"/>
        <v>750.53499999999997</v>
      </c>
      <c r="C48" s="4">
        <v>0.75053499999999995</v>
      </c>
      <c r="D48" s="2">
        <v>-7.4473200000000004</v>
      </c>
      <c r="G48" t="s">
        <v>43</v>
      </c>
      <c r="H48" s="18">
        <f t="shared" si="1"/>
        <v>490.61100000000005</v>
      </c>
      <c r="I48" s="4">
        <v>0.49061100000000002</v>
      </c>
      <c r="J48" s="2">
        <v>-23.969100000000001</v>
      </c>
    </row>
    <row r="49" spans="1:10">
      <c r="A49" t="s">
        <v>46</v>
      </c>
      <c r="B49" s="18">
        <f t="shared" si="0"/>
        <v>782.53099999999995</v>
      </c>
      <c r="C49" s="4">
        <v>0.78253099999999998</v>
      </c>
      <c r="D49" s="2">
        <v>-7.5720700000000001</v>
      </c>
      <c r="E49" s="19">
        <f>AVERAGE(D49:D50)</f>
        <v>-8.1189400000000003</v>
      </c>
      <c r="F49" s="19">
        <f>_xlfn.STDEV.S(D49:D50)</f>
        <v>0.77339097085497477</v>
      </c>
      <c r="G49" t="s">
        <v>43</v>
      </c>
      <c r="H49" s="18">
        <f t="shared" si="1"/>
        <v>501.24299999999999</v>
      </c>
      <c r="I49" s="4">
        <v>0.50124299999999999</v>
      </c>
      <c r="J49" s="2">
        <v>-18.142499999999998</v>
      </c>
    </row>
    <row r="50" spans="1:10">
      <c r="A50" t="s">
        <v>46</v>
      </c>
      <c r="B50" s="18">
        <f t="shared" si="0"/>
        <v>784.23099999999999</v>
      </c>
      <c r="C50" s="4">
        <v>0.78423100000000001</v>
      </c>
      <c r="D50" s="2">
        <v>-8.6658100000000005</v>
      </c>
      <c r="G50" t="s">
        <v>43</v>
      </c>
      <c r="H50" s="18">
        <f t="shared" si="1"/>
        <v>516.44599999999991</v>
      </c>
      <c r="I50" s="4">
        <v>0.51644599999999996</v>
      </c>
      <c r="J50" s="2">
        <v>-20.071400000000001</v>
      </c>
    </row>
    <row r="51" spans="1:10">
      <c r="A51" t="s">
        <v>51</v>
      </c>
      <c r="B51" s="18">
        <f t="shared" si="0"/>
        <v>813.83</v>
      </c>
      <c r="C51" s="4">
        <v>0.81383000000000005</v>
      </c>
      <c r="D51" s="2">
        <v>-8.4780800000000003</v>
      </c>
      <c r="H51" s="18">
        <f t="shared" si="1"/>
        <v>522.91200000000003</v>
      </c>
      <c r="I51" s="4">
        <v>0.52291200000000004</v>
      </c>
      <c r="J51" s="2">
        <v>-23.5825</v>
      </c>
    </row>
    <row r="52" spans="1:10">
      <c r="A52" t="s">
        <v>51</v>
      </c>
      <c r="B52" s="18">
        <f t="shared" si="0"/>
        <v>842.73200000000008</v>
      </c>
      <c r="C52" s="4">
        <v>0.84273200000000004</v>
      </c>
      <c r="D52" s="2">
        <v>-9.0716000000000001</v>
      </c>
      <c r="H52" s="18">
        <f t="shared" si="1"/>
        <v>536.16099999999994</v>
      </c>
      <c r="I52" s="4">
        <v>0.536161</v>
      </c>
      <c r="J52" s="2">
        <v>-23.890899999999998</v>
      </c>
    </row>
    <row r="53" spans="1:10">
      <c r="A53" t="s">
        <v>50</v>
      </c>
      <c r="B53" s="18">
        <f t="shared" si="0"/>
        <v>890.39100000000008</v>
      </c>
      <c r="C53" s="4">
        <v>0.89039100000000004</v>
      </c>
      <c r="D53" s="2">
        <v>-9.6337299999999999</v>
      </c>
      <c r="H53" s="18">
        <f t="shared" si="1"/>
        <v>552.37199999999996</v>
      </c>
      <c r="I53" s="4">
        <v>0.55237199999999997</v>
      </c>
      <c r="J53" s="2">
        <v>-23.5625</v>
      </c>
    </row>
    <row r="54" spans="1:10">
      <c r="A54" t="s">
        <v>50</v>
      </c>
      <c r="B54" s="18">
        <f t="shared" si="0"/>
        <v>912.52</v>
      </c>
      <c r="C54" s="4">
        <v>0.91252</v>
      </c>
      <c r="D54" s="2">
        <v>-8.8210599999999992</v>
      </c>
      <c r="G54" t="s">
        <v>43</v>
      </c>
      <c r="H54" s="18">
        <f t="shared" si="1"/>
        <v>564.33799999999997</v>
      </c>
      <c r="I54" s="4">
        <v>0.56433800000000001</v>
      </c>
      <c r="J54" s="2">
        <v>-20.7455</v>
      </c>
    </row>
    <row r="55" spans="1:10">
      <c r="A55" t="s">
        <v>50</v>
      </c>
      <c r="B55" s="18">
        <f t="shared" si="0"/>
        <v>924.42100000000005</v>
      </c>
      <c r="C55" s="4">
        <v>0.92442100000000005</v>
      </c>
      <c r="D55" s="2">
        <v>-7.47722</v>
      </c>
      <c r="G55" t="s">
        <v>43</v>
      </c>
      <c r="H55" s="18">
        <f t="shared" si="1"/>
        <v>566.61099999999999</v>
      </c>
      <c r="I55" s="4">
        <v>0.56661099999999998</v>
      </c>
      <c r="J55" s="2">
        <v>-21.652200000000001</v>
      </c>
    </row>
    <row r="56" spans="1:10">
      <c r="A56" t="s">
        <v>53</v>
      </c>
      <c r="B56" s="18">
        <f t="shared" si="0"/>
        <v>944.93400000000008</v>
      </c>
      <c r="C56" s="4">
        <v>0.94493400000000005</v>
      </c>
      <c r="D56" s="2">
        <v>-8.4770599999999998</v>
      </c>
      <c r="G56" t="s">
        <v>43</v>
      </c>
      <c r="H56" s="18">
        <f t="shared" si="1"/>
        <v>580.274</v>
      </c>
      <c r="I56" s="4">
        <v>0.58027399999999996</v>
      </c>
      <c r="J56" s="2">
        <v>-21.034500000000001</v>
      </c>
    </row>
    <row r="57" spans="1:10">
      <c r="A57" t="s">
        <v>53</v>
      </c>
      <c r="B57" s="18">
        <f t="shared" si="0"/>
        <v>945.85399999999993</v>
      </c>
      <c r="C57" s="4">
        <v>0.94585399999999997</v>
      </c>
      <c r="D57" s="2">
        <v>-7.4458000000000002</v>
      </c>
      <c r="G57" t="s">
        <v>43</v>
      </c>
      <c r="H57" s="18">
        <f t="shared" si="1"/>
        <v>583.57099999999991</v>
      </c>
      <c r="I57" s="4">
        <v>0.58357099999999995</v>
      </c>
      <c r="J57" s="2">
        <v>-19.645399999999999</v>
      </c>
    </row>
    <row r="58" spans="1:10">
      <c r="A58" t="s">
        <v>52</v>
      </c>
      <c r="B58" s="18">
        <f t="shared" si="0"/>
        <v>972.12200000000007</v>
      </c>
      <c r="C58" s="4">
        <v>0.97212200000000004</v>
      </c>
      <c r="D58" s="2">
        <v>-7.99247</v>
      </c>
      <c r="G58" t="s">
        <v>43</v>
      </c>
      <c r="H58" s="18">
        <f t="shared" si="1"/>
        <v>591.79300000000001</v>
      </c>
      <c r="I58" s="4">
        <v>0.59179300000000001</v>
      </c>
      <c r="J58" s="2">
        <v>-19.220700000000001</v>
      </c>
    </row>
    <row r="59" spans="1:10">
      <c r="A59" t="s">
        <v>52</v>
      </c>
      <c r="B59" s="18">
        <f t="shared" si="0"/>
        <v>993.24800000000005</v>
      </c>
      <c r="C59" s="4">
        <v>0.99324800000000002</v>
      </c>
      <c r="D59" s="2">
        <v>-8.3048000000000002</v>
      </c>
      <c r="G59" t="s">
        <v>43</v>
      </c>
      <c r="H59" s="18">
        <f t="shared" si="1"/>
        <v>598.83500000000004</v>
      </c>
      <c r="I59" s="4">
        <v>0.59883500000000001</v>
      </c>
      <c r="J59" s="2">
        <v>-21.4392</v>
      </c>
    </row>
    <row r="60" spans="1:10">
      <c r="A60" t="s">
        <v>55</v>
      </c>
      <c r="B60" s="18">
        <f t="shared" si="0"/>
        <v>1005.89</v>
      </c>
      <c r="C60" s="4">
        <v>1.00589</v>
      </c>
      <c r="D60" s="2">
        <v>-9.1328300000000002</v>
      </c>
      <c r="H60" s="18">
        <f t="shared" si="1"/>
        <v>600.72899999999993</v>
      </c>
      <c r="I60" s="4">
        <v>0.60072899999999996</v>
      </c>
      <c r="J60" s="2">
        <v>-23.194800000000001</v>
      </c>
    </row>
    <row r="61" spans="1:10">
      <c r="A61" t="s">
        <v>57</v>
      </c>
      <c r="B61" s="18">
        <f t="shared" si="0"/>
        <v>1019.7</v>
      </c>
      <c r="C61" s="4">
        <v>1.0197000000000001</v>
      </c>
      <c r="D61" s="2">
        <v>-5.6483499999999998</v>
      </c>
      <c r="H61" s="18">
        <f t="shared" si="1"/>
        <v>609.12299999999993</v>
      </c>
      <c r="I61" s="4">
        <v>0.60912299999999997</v>
      </c>
      <c r="J61" s="2">
        <v>-22.3843</v>
      </c>
    </row>
    <row r="62" spans="1:10">
      <c r="A62" t="s">
        <v>57</v>
      </c>
      <c r="B62" s="18">
        <f t="shared" si="0"/>
        <v>1025.3600000000001</v>
      </c>
      <c r="C62" s="4">
        <v>1.02536</v>
      </c>
      <c r="D62" s="2">
        <v>-8.3045500000000008</v>
      </c>
      <c r="H62" s="18">
        <f t="shared" si="1"/>
        <v>616.43999999999994</v>
      </c>
      <c r="I62" s="4">
        <v>0.61643999999999999</v>
      </c>
      <c r="J62" s="2">
        <v>-23.985399999999998</v>
      </c>
    </row>
    <row r="63" spans="1:10">
      <c r="A63" t="s">
        <v>54</v>
      </c>
      <c r="B63" s="18">
        <f t="shared" si="0"/>
        <v>1043.72</v>
      </c>
      <c r="C63" s="4">
        <v>1.04372</v>
      </c>
      <c r="D63" s="2">
        <v>-8.7106600000000007</v>
      </c>
      <c r="H63" s="18">
        <f t="shared" si="1"/>
        <v>627.72700000000009</v>
      </c>
      <c r="I63" s="4">
        <v>0.62772700000000003</v>
      </c>
      <c r="J63" s="2">
        <v>-22.692499999999999</v>
      </c>
    </row>
    <row r="64" spans="1:10">
      <c r="A64" t="s">
        <v>58</v>
      </c>
      <c r="B64" s="18">
        <f t="shared" si="0"/>
        <v>1052.77</v>
      </c>
      <c r="C64" s="4">
        <v>1.05277</v>
      </c>
      <c r="D64" s="2">
        <v>-7.56996</v>
      </c>
      <c r="H64" s="18">
        <f t="shared" si="1"/>
        <v>638.19499999999994</v>
      </c>
      <c r="I64" s="4">
        <v>0.63819499999999996</v>
      </c>
      <c r="J64" s="2">
        <v>-23.232500000000002</v>
      </c>
    </row>
    <row r="65" spans="1:10">
      <c r="A65" t="s">
        <v>59</v>
      </c>
      <c r="B65" s="18">
        <f t="shared" si="0"/>
        <v>1080.3400000000001</v>
      </c>
      <c r="C65" s="4">
        <v>1.0803400000000001</v>
      </c>
      <c r="D65" s="2">
        <v>-6.6478700000000002</v>
      </c>
      <c r="H65" s="18">
        <f t="shared" si="1"/>
        <v>642.95600000000002</v>
      </c>
      <c r="I65" s="4">
        <v>0.64295599999999997</v>
      </c>
      <c r="J65" s="2">
        <v>-24.563500000000001</v>
      </c>
    </row>
    <row r="66" spans="1:10">
      <c r="A66" t="s">
        <v>56</v>
      </c>
      <c r="B66" s="18">
        <f t="shared" si="0"/>
        <v>1084.6899999999998</v>
      </c>
      <c r="C66" s="4">
        <v>1.0846899999999999</v>
      </c>
      <c r="D66" s="2">
        <v>-7.7728400000000004</v>
      </c>
      <c r="H66" s="18">
        <f t="shared" si="1"/>
        <v>653.57100000000003</v>
      </c>
      <c r="I66" s="4">
        <v>0.65357100000000001</v>
      </c>
      <c r="J66" s="2">
        <v>-24.775500000000001</v>
      </c>
    </row>
    <row r="67" spans="1:10">
      <c r="A67" t="s">
        <v>60</v>
      </c>
      <c r="B67" s="18">
        <f t="shared" ref="B67:B130" si="2">C67*1000</f>
        <v>1107.95</v>
      </c>
      <c r="C67" s="4">
        <v>1.10795</v>
      </c>
      <c r="D67" s="2">
        <v>-8.6945300000000003</v>
      </c>
      <c r="H67" s="18">
        <f t="shared" ref="H67:H130" si="3">I67*1000</f>
        <v>670.72900000000004</v>
      </c>
      <c r="I67" s="4">
        <v>0.67072900000000002</v>
      </c>
      <c r="J67" s="2">
        <v>-22.3249</v>
      </c>
    </row>
    <row r="68" spans="1:10">
      <c r="A68" t="s">
        <v>60</v>
      </c>
      <c r="B68" s="18">
        <f t="shared" si="2"/>
        <v>1117.69</v>
      </c>
      <c r="C68" s="4">
        <v>1.1176900000000001</v>
      </c>
      <c r="D68" s="2">
        <v>-6.7725799999999996</v>
      </c>
      <c r="H68" s="18">
        <f t="shared" si="3"/>
        <v>675.34300000000007</v>
      </c>
      <c r="I68" s="4">
        <v>0.67534300000000003</v>
      </c>
      <c r="J68" s="2">
        <v>-23.984000000000002</v>
      </c>
    </row>
    <row r="69" spans="1:10">
      <c r="A69" t="s">
        <v>60</v>
      </c>
      <c r="B69" s="18">
        <f t="shared" si="2"/>
        <v>1135.96</v>
      </c>
      <c r="C69" s="4">
        <v>1.1359600000000001</v>
      </c>
      <c r="D69" s="2">
        <v>-7.2880599999999998</v>
      </c>
      <c r="G69" t="s">
        <v>45</v>
      </c>
      <c r="H69" s="18">
        <f t="shared" si="3"/>
        <v>680.97300000000007</v>
      </c>
      <c r="I69" s="4">
        <v>0.68097300000000005</v>
      </c>
      <c r="J69" s="2">
        <v>-23.366499999999998</v>
      </c>
    </row>
    <row r="70" spans="1:10">
      <c r="A70" t="s">
        <v>61</v>
      </c>
      <c r="B70" s="18">
        <f t="shared" si="2"/>
        <v>1153.6200000000001</v>
      </c>
      <c r="C70" s="4">
        <v>1.1536200000000001</v>
      </c>
      <c r="D70" s="2">
        <v>-8.4910499999999995</v>
      </c>
      <c r="G70" t="s">
        <v>45</v>
      </c>
      <c r="H70" s="18">
        <f t="shared" si="3"/>
        <v>692.63</v>
      </c>
      <c r="I70" s="4">
        <v>0.69262999999999997</v>
      </c>
      <c r="J70" s="2">
        <v>-21.244</v>
      </c>
    </row>
    <row r="71" spans="1:10">
      <c r="A71" t="s">
        <v>62</v>
      </c>
      <c r="B71" s="18">
        <f t="shared" si="2"/>
        <v>1167.6500000000001</v>
      </c>
      <c r="C71" s="4">
        <v>1.1676500000000001</v>
      </c>
      <c r="D71" s="2">
        <v>-7.75657</v>
      </c>
      <c r="H71" s="18">
        <f t="shared" si="3"/>
        <v>712.81000000000006</v>
      </c>
      <c r="I71" s="4">
        <v>0.71281000000000005</v>
      </c>
      <c r="J71" s="2">
        <v>-24.021699999999999</v>
      </c>
    </row>
    <row r="72" spans="1:10">
      <c r="A72" t="s">
        <v>63</v>
      </c>
      <c r="B72" s="18">
        <f t="shared" si="2"/>
        <v>1175.25</v>
      </c>
      <c r="C72" s="4">
        <v>1.1752499999999999</v>
      </c>
      <c r="D72" s="2">
        <v>-8.2408800000000006</v>
      </c>
      <c r="H72" s="18">
        <f t="shared" si="3"/>
        <v>747.86599999999999</v>
      </c>
      <c r="I72" s="4">
        <v>0.74786600000000003</v>
      </c>
      <c r="J72" s="2">
        <v>-23.461300000000001</v>
      </c>
    </row>
    <row r="73" spans="1:10">
      <c r="A73" t="s">
        <v>64</v>
      </c>
      <c r="B73" s="18">
        <f t="shared" si="2"/>
        <v>1191.1600000000001</v>
      </c>
      <c r="C73" s="4">
        <v>1.19116</v>
      </c>
      <c r="D73" s="2">
        <v>-8.3970099999999999</v>
      </c>
      <c r="H73" s="18">
        <f t="shared" si="3"/>
        <v>752.678</v>
      </c>
      <c r="I73" s="4">
        <v>0.75267799999999996</v>
      </c>
      <c r="J73" s="2">
        <v>-24.6767</v>
      </c>
    </row>
    <row r="74" spans="1:10">
      <c r="A74" t="s">
        <v>64</v>
      </c>
      <c r="B74" s="18">
        <f t="shared" si="2"/>
        <v>1198.6099999999999</v>
      </c>
      <c r="C74" s="4">
        <v>1.19861</v>
      </c>
      <c r="D74" s="2">
        <v>-6.0375699999999997</v>
      </c>
      <c r="H74" s="18">
        <f t="shared" si="3"/>
        <v>766.24599999999998</v>
      </c>
      <c r="I74" s="4">
        <v>0.76624599999999998</v>
      </c>
      <c r="J74" s="2">
        <v>-24.2712</v>
      </c>
    </row>
    <row r="75" spans="1:10">
      <c r="A75" t="s">
        <v>67</v>
      </c>
      <c r="B75" s="18">
        <f t="shared" si="2"/>
        <v>1210.45</v>
      </c>
      <c r="C75" s="4">
        <v>1.21045</v>
      </c>
      <c r="D75" s="2">
        <v>-7.7718600000000002</v>
      </c>
      <c r="G75" t="s">
        <v>46</v>
      </c>
      <c r="H75" s="18">
        <f t="shared" si="3"/>
        <v>766.71100000000001</v>
      </c>
      <c r="I75" s="4">
        <v>0.76671100000000003</v>
      </c>
      <c r="J75" s="2">
        <v>-23.229399999999998</v>
      </c>
    </row>
    <row r="76" spans="1:10">
      <c r="A76" t="s">
        <v>65</v>
      </c>
      <c r="B76" s="18">
        <f t="shared" si="2"/>
        <v>1228.8</v>
      </c>
      <c r="C76" s="4">
        <v>1.2287999999999999</v>
      </c>
      <c r="D76" s="2">
        <v>-8.1935900000000004</v>
      </c>
      <c r="G76" t="s">
        <v>46</v>
      </c>
      <c r="H76" s="18">
        <f t="shared" si="3"/>
        <v>785.65</v>
      </c>
      <c r="I76" s="4">
        <v>0.78564999999999996</v>
      </c>
      <c r="J76" s="2">
        <v>-22.7852</v>
      </c>
    </row>
    <row r="77" spans="1:10">
      <c r="A77" t="s">
        <v>66</v>
      </c>
      <c r="B77" s="18">
        <f t="shared" si="2"/>
        <v>1243.6100000000001</v>
      </c>
      <c r="C77" s="4">
        <v>1.2436100000000001</v>
      </c>
      <c r="D77" s="2">
        <v>-6.5841000000000003</v>
      </c>
      <c r="H77" s="18">
        <f t="shared" si="3"/>
        <v>793.05400000000009</v>
      </c>
      <c r="I77" s="4">
        <v>0.79305400000000004</v>
      </c>
      <c r="J77" s="2">
        <v>-24.1934</v>
      </c>
    </row>
    <row r="78" spans="1:10">
      <c r="B78" s="18">
        <f t="shared" si="2"/>
        <v>1265.96</v>
      </c>
      <c r="C78" s="4">
        <v>1.26596</v>
      </c>
      <c r="D78" s="2">
        <v>-5.52142</v>
      </c>
      <c r="H78" s="18">
        <f t="shared" si="3"/>
        <v>803.80700000000002</v>
      </c>
      <c r="I78" s="4">
        <v>0.80380700000000005</v>
      </c>
      <c r="J78" s="2">
        <v>-24.096599999999999</v>
      </c>
    </row>
    <row r="79" spans="1:10">
      <c r="A79" t="s">
        <v>68</v>
      </c>
      <c r="B79" s="18">
        <f t="shared" si="2"/>
        <v>1275.58</v>
      </c>
      <c r="C79" s="4">
        <v>1.2755799999999999</v>
      </c>
      <c r="D79" s="2">
        <v>-6.7401</v>
      </c>
      <c r="H79" s="18">
        <f t="shared" si="3"/>
        <v>812.01100000000008</v>
      </c>
      <c r="I79" s="4">
        <v>0.81201100000000004</v>
      </c>
      <c r="J79" s="2">
        <v>-23.710599999999999</v>
      </c>
    </row>
    <row r="80" spans="1:10">
      <c r="A80" t="s">
        <v>68</v>
      </c>
      <c r="B80" s="18">
        <f t="shared" si="2"/>
        <v>1289.32</v>
      </c>
      <c r="C80" s="4">
        <v>1.28932</v>
      </c>
      <c r="D80" s="2">
        <v>-9.3337400000000006</v>
      </c>
      <c r="H80" s="18">
        <f t="shared" si="3"/>
        <v>815.44600000000003</v>
      </c>
      <c r="I80" s="4">
        <v>0.815446</v>
      </c>
      <c r="J80" s="2">
        <v>-22.012799999999999</v>
      </c>
    </row>
    <row r="81" spans="1:10">
      <c r="B81" s="18">
        <f t="shared" si="2"/>
        <v>1307.52</v>
      </c>
      <c r="C81" s="4">
        <v>1.30752</v>
      </c>
      <c r="D81" s="2">
        <v>-6.9273499999999997</v>
      </c>
      <c r="H81" s="18">
        <f t="shared" si="3"/>
        <v>834.36</v>
      </c>
      <c r="I81" s="4">
        <v>0.83435999999999999</v>
      </c>
      <c r="J81" s="2">
        <v>-21.6265</v>
      </c>
    </row>
    <row r="82" spans="1:10">
      <c r="B82" s="18">
        <f t="shared" si="2"/>
        <v>1329.38</v>
      </c>
      <c r="C82" s="4">
        <v>1.32938</v>
      </c>
      <c r="D82" s="2">
        <v>-6.4115500000000001</v>
      </c>
      <c r="H82" s="18">
        <f t="shared" si="3"/>
        <v>836.46100000000001</v>
      </c>
      <c r="I82" s="4">
        <v>0.83646100000000001</v>
      </c>
      <c r="J82" s="2">
        <v>-22.919</v>
      </c>
    </row>
    <row r="83" spans="1:10">
      <c r="A83" t="s">
        <v>69</v>
      </c>
      <c r="B83" s="18">
        <f t="shared" si="2"/>
        <v>1349.48</v>
      </c>
      <c r="C83" s="4">
        <v>1.34948</v>
      </c>
      <c r="D83" s="2">
        <v>-7.8801399999999999</v>
      </c>
      <c r="H83" s="18">
        <f t="shared" si="3"/>
        <v>838.7940000000001</v>
      </c>
      <c r="I83" s="4">
        <v>0.83879400000000004</v>
      </c>
      <c r="J83" s="2">
        <v>-23.6907</v>
      </c>
    </row>
    <row r="84" spans="1:10">
      <c r="B84" s="18">
        <f t="shared" si="2"/>
        <v>1363.85</v>
      </c>
      <c r="C84" s="4">
        <v>1.36385</v>
      </c>
      <c r="D84" s="2">
        <v>-6.7706600000000003</v>
      </c>
      <c r="H84" s="18">
        <f t="shared" si="3"/>
        <v>866.42</v>
      </c>
      <c r="I84" s="4">
        <v>0.86641999999999997</v>
      </c>
      <c r="J84" s="2">
        <v>-21.78</v>
      </c>
    </row>
    <row r="85" spans="1:10">
      <c r="A85" t="s">
        <v>70</v>
      </c>
      <c r="B85" s="18">
        <f t="shared" si="2"/>
        <v>1381.36</v>
      </c>
      <c r="C85" s="4">
        <v>1.3813599999999999</v>
      </c>
      <c r="D85" s="2">
        <v>-8.1298999999999992</v>
      </c>
      <c r="H85" s="18">
        <f t="shared" si="3"/>
        <v>868.68399999999997</v>
      </c>
      <c r="I85" s="4">
        <v>0.86868400000000001</v>
      </c>
      <c r="J85" s="2">
        <v>-22.706</v>
      </c>
    </row>
    <row r="86" spans="1:10">
      <c r="A86" t="s">
        <v>70</v>
      </c>
      <c r="B86" s="18">
        <f t="shared" si="2"/>
        <v>1409.05</v>
      </c>
      <c r="C86" s="4">
        <v>1.4090499999999999</v>
      </c>
      <c r="D86" s="2">
        <v>-7.0827999999999998</v>
      </c>
      <c r="H86" s="18">
        <f t="shared" si="3"/>
        <v>873.721</v>
      </c>
      <c r="I86" s="4">
        <v>0.87372099999999997</v>
      </c>
      <c r="J86" s="2">
        <v>-23.419699999999999</v>
      </c>
    </row>
    <row r="87" spans="1:10">
      <c r="A87" t="s">
        <v>70</v>
      </c>
      <c r="B87" s="18">
        <f t="shared" si="2"/>
        <v>1418.52</v>
      </c>
      <c r="C87" s="4">
        <v>1.41852</v>
      </c>
      <c r="D87" s="2">
        <v>-8.4733599999999996</v>
      </c>
      <c r="H87" s="18">
        <f t="shared" si="3"/>
        <v>881.62399999999991</v>
      </c>
      <c r="I87" s="4">
        <v>0.88162399999999996</v>
      </c>
      <c r="J87" s="2">
        <v>-23.7089</v>
      </c>
    </row>
    <row r="88" spans="1:10">
      <c r="A88" t="s">
        <v>71</v>
      </c>
      <c r="B88" s="18">
        <f t="shared" si="2"/>
        <v>1445.91</v>
      </c>
      <c r="C88" s="4">
        <v>1.44591</v>
      </c>
      <c r="D88" s="2">
        <v>-7.7543899999999999</v>
      </c>
      <c r="H88" s="18">
        <f t="shared" si="3"/>
        <v>895.39800000000002</v>
      </c>
      <c r="I88" s="4">
        <v>0.89539800000000003</v>
      </c>
      <c r="J88" s="2">
        <v>-22.840399999999999</v>
      </c>
    </row>
    <row r="89" spans="1:10">
      <c r="A89" t="s">
        <v>72</v>
      </c>
      <c r="B89" s="18">
        <f t="shared" si="2"/>
        <v>1480</v>
      </c>
      <c r="C89" s="4">
        <v>1.48</v>
      </c>
      <c r="D89" s="2">
        <v>-8.53538</v>
      </c>
      <c r="H89" s="18">
        <f t="shared" si="3"/>
        <v>900.15</v>
      </c>
      <c r="I89" s="4">
        <v>0.90015000000000001</v>
      </c>
      <c r="J89" s="2">
        <v>-24.190799999999999</v>
      </c>
    </row>
    <row r="90" spans="1:10">
      <c r="A90" t="s">
        <v>73</v>
      </c>
      <c r="B90" s="18">
        <f t="shared" si="2"/>
        <v>1493.49</v>
      </c>
      <c r="C90" s="4">
        <v>1.49349</v>
      </c>
      <c r="D90" s="2">
        <v>-8.4102700000000006</v>
      </c>
      <c r="H90" s="18">
        <f t="shared" si="3"/>
        <v>907.92399999999998</v>
      </c>
      <c r="I90" s="4">
        <v>0.90792399999999995</v>
      </c>
      <c r="J90" s="2">
        <v>-24.769400000000001</v>
      </c>
    </row>
    <row r="91" spans="1:10">
      <c r="A91" t="s">
        <v>74</v>
      </c>
      <c r="B91" s="18">
        <f t="shared" si="2"/>
        <v>1509.29</v>
      </c>
      <c r="C91" s="4">
        <v>1.50929</v>
      </c>
      <c r="D91" s="2">
        <v>-8.6913999999999998</v>
      </c>
      <c r="H91" s="18">
        <f t="shared" si="3"/>
        <v>932.60599999999999</v>
      </c>
      <c r="I91" s="4">
        <v>0.93260600000000005</v>
      </c>
      <c r="J91" s="2">
        <v>-23.456900000000001</v>
      </c>
    </row>
    <row r="92" spans="1:10">
      <c r="A92" t="s">
        <v>74</v>
      </c>
      <c r="B92" s="18">
        <f t="shared" si="2"/>
        <v>1534.47</v>
      </c>
      <c r="C92" s="4">
        <v>1.53447</v>
      </c>
      <c r="D92" s="2">
        <v>-7.4568199999999996</v>
      </c>
      <c r="H92" s="18">
        <f t="shared" si="3"/>
        <v>932.73599999999999</v>
      </c>
      <c r="I92" s="4">
        <v>0.93273600000000001</v>
      </c>
      <c r="J92" s="2">
        <v>-23.1675</v>
      </c>
    </row>
    <row r="93" spans="1:10">
      <c r="A93" t="s">
        <v>76</v>
      </c>
      <c r="B93" s="18">
        <f t="shared" si="2"/>
        <v>1550.4</v>
      </c>
      <c r="C93" s="4">
        <v>1.5504</v>
      </c>
      <c r="D93" s="2">
        <v>-7.5973300000000004</v>
      </c>
      <c r="H93" s="18">
        <f t="shared" si="3"/>
        <v>934.97399999999993</v>
      </c>
      <c r="I93" s="4">
        <v>0.93497399999999997</v>
      </c>
      <c r="J93" s="2">
        <v>-24.151399999999999</v>
      </c>
    </row>
    <row r="94" spans="1:10">
      <c r="A94" t="s">
        <v>76</v>
      </c>
      <c r="B94" s="18">
        <f t="shared" si="2"/>
        <v>1574.55</v>
      </c>
      <c r="C94" s="4">
        <v>1.5745499999999999</v>
      </c>
      <c r="D94" s="2">
        <v>-7.5190099999999997</v>
      </c>
      <c r="H94" s="18">
        <f t="shared" si="3"/>
        <v>940.923</v>
      </c>
      <c r="I94" s="4">
        <v>0.94092299999999995</v>
      </c>
      <c r="J94" s="2">
        <v>-22.82</v>
      </c>
    </row>
    <row r="95" spans="1:10">
      <c r="A95" t="s">
        <v>75</v>
      </c>
      <c r="B95" s="18">
        <f t="shared" si="2"/>
        <v>1605.6999999999998</v>
      </c>
      <c r="C95" s="4">
        <v>1.6056999999999999</v>
      </c>
      <c r="D95" s="2">
        <v>-8.5968900000000001</v>
      </c>
      <c r="H95" s="18">
        <f t="shared" si="3"/>
        <v>953.25900000000001</v>
      </c>
      <c r="I95" s="4">
        <v>0.95325899999999997</v>
      </c>
      <c r="J95" s="2">
        <v>-19.173400000000001</v>
      </c>
    </row>
    <row r="96" spans="1:10">
      <c r="A96" t="s">
        <v>75</v>
      </c>
      <c r="B96" s="18">
        <f t="shared" si="2"/>
        <v>1630.5700000000002</v>
      </c>
      <c r="C96" s="4">
        <v>1.6305700000000001</v>
      </c>
      <c r="D96" s="2">
        <v>-7.7060700000000004</v>
      </c>
      <c r="H96" s="18">
        <f t="shared" si="3"/>
        <v>962.28199999999993</v>
      </c>
      <c r="I96" s="4">
        <v>0.96228199999999997</v>
      </c>
      <c r="J96" s="2">
        <v>-22.954599999999999</v>
      </c>
    </row>
    <row r="97" spans="1:10">
      <c r="A97" t="s">
        <v>75</v>
      </c>
      <c r="B97" s="18">
        <f t="shared" si="2"/>
        <v>1640.93</v>
      </c>
      <c r="C97" s="4">
        <v>1.64093</v>
      </c>
      <c r="D97" s="2">
        <v>-8.0966199999999997</v>
      </c>
      <c r="H97" s="18">
        <f t="shared" si="3"/>
        <v>973.23199999999997</v>
      </c>
      <c r="I97" s="4">
        <v>0.97323199999999999</v>
      </c>
      <c r="J97" s="2">
        <v>-22.414100000000001</v>
      </c>
    </row>
    <row r="98" spans="1:10">
      <c r="A98" t="s">
        <v>77</v>
      </c>
      <c r="B98" s="18">
        <f t="shared" si="2"/>
        <v>1673.95</v>
      </c>
      <c r="C98" s="4">
        <v>1.67395</v>
      </c>
      <c r="D98" s="2">
        <v>-7.0651099999999998</v>
      </c>
      <c r="H98" s="18">
        <f t="shared" si="3"/>
        <v>976.68500000000006</v>
      </c>
      <c r="I98" s="4">
        <v>0.97668500000000003</v>
      </c>
      <c r="J98" s="2">
        <v>-20.677700000000002</v>
      </c>
    </row>
    <row r="99" spans="1:10">
      <c r="A99" t="s">
        <v>78</v>
      </c>
      <c r="B99" s="18">
        <f t="shared" si="2"/>
        <v>1708.72</v>
      </c>
      <c r="C99" s="4">
        <v>1.70872</v>
      </c>
      <c r="D99" s="2">
        <v>-7.0804600000000004</v>
      </c>
      <c r="H99" s="18">
        <f t="shared" si="3"/>
        <v>988.86599999999999</v>
      </c>
      <c r="I99" s="4">
        <v>0.98886600000000002</v>
      </c>
      <c r="J99" s="2">
        <v>-23.378399999999999</v>
      </c>
    </row>
    <row r="100" spans="1:10">
      <c r="A100" t="s">
        <v>78</v>
      </c>
      <c r="B100" s="18">
        <f t="shared" si="2"/>
        <v>1746</v>
      </c>
      <c r="C100" s="4">
        <v>1.746</v>
      </c>
      <c r="D100" s="2">
        <v>-7.2832999999999997</v>
      </c>
      <c r="H100" s="18">
        <f t="shared" si="3"/>
        <v>998.08699999999999</v>
      </c>
      <c r="I100" s="4">
        <v>0.99808699999999995</v>
      </c>
      <c r="J100" s="2">
        <v>-20.715800000000002</v>
      </c>
    </row>
    <row r="101" spans="1:10">
      <c r="B101" s="18">
        <f t="shared" si="2"/>
        <v>1759.52</v>
      </c>
      <c r="C101" s="4">
        <v>1.75952</v>
      </c>
      <c r="D101" s="2">
        <v>-7.1269400000000003</v>
      </c>
      <c r="H101" s="18">
        <f t="shared" si="3"/>
        <v>999.80000000000007</v>
      </c>
      <c r="I101" s="4">
        <v>0.99980000000000002</v>
      </c>
      <c r="J101" s="2">
        <v>-22.8765</v>
      </c>
    </row>
    <row r="102" spans="1:10">
      <c r="B102" s="18">
        <f t="shared" si="2"/>
        <v>1794.06</v>
      </c>
      <c r="C102" s="4">
        <v>1.79406</v>
      </c>
      <c r="D102" s="2">
        <v>-7.3922999999999996</v>
      </c>
      <c r="H102" s="18">
        <f t="shared" si="3"/>
        <v>1023.08</v>
      </c>
      <c r="I102" s="4">
        <v>1.02308</v>
      </c>
      <c r="J102" s="2">
        <v>-18.7087</v>
      </c>
    </row>
    <row r="103" spans="1:10">
      <c r="A103" t="s">
        <v>79</v>
      </c>
      <c r="B103" s="18">
        <f t="shared" si="2"/>
        <v>1806.44</v>
      </c>
      <c r="C103" s="4">
        <v>1.80644</v>
      </c>
      <c r="D103" s="2">
        <v>-8.5172000000000008</v>
      </c>
      <c r="H103" s="18">
        <f t="shared" si="3"/>
        <v>1024.25</v>
      </c>
      <c r="I103" s="4">
        <v>1.0242500000000001</v>
      </c>
      <c r="J103" s="2">
        <v>-22.084900000000001</v>
      </c>
    </row>
    <row r="104" spans="1:10">
      <c r="A104" t="s">
        <v>79</v>
      </c>
      <c r="B104" s="18">
        <f t="shared" si="2"/>
        <v>1831.03</v>
      </c>
      <c r="C104" s="4">
        <v>1.8310299999999999</v>
      </c>
      <c r="D104" s="2">
        <v>-7.9388800000000002</v>
      </c>
      <c r="H104" s="18">
        <f t="shared" si="3"/>
        <v>1032.8900000000001</v>
      </c>
      <c r="I104" s="4">
        <v>1.0328900000000001</v>
      </c>
      <c r="J104" s="2">
        <v>-20.7149</v>
      </c>
    </row>
    <row r="105" spans="1:10">
      <c r="B105" s="18">
        <f t="shared" si="2"/>
        <v>1891.15</v>
      </c>
      <c r="C105" s="4">
        <v>1.8911500000000001</v>
      </c>
      <c r="D105" s="2">
        <v>-9.5321599999999993</v>
      </c>
      <c r="H105" s="18">
        <f t="shared" si="3"/>
        <v>1050.6299999999999</v>
      </c>
      <c r="I105" s="4">
        <v>1.05063</v>
      </c>
      <c r="J105" s="2">
        <v>-22.971699999999998</v>
      </c>
    </row>
    <row r="106" spans="1:10">
      <c r="A106" t="s">
        <v>80</v>
      </c>
      <c r="B106" s="18">
        <f t="shared" si="2"/>
        <v>1914.1999999999998</v>
      </c>
      <c r="C106" s="4">
        <v>1.9141999999999999</v>
      </c>
      <c r="D106" s="2">
        <v>-7.6882299999999999</v>
      </c>
      <c r="H106" s="18">
        <f t="shared" si="3"/>
        <v>1056.47</v>
      </c>
      <c r="I106" s="4">
        <v>1.05647</v>
      </c>
      <c r="J106" s="2">
        <v>-21.8719</v>
      </c>
    </row>
    <row r="107" spans="1:10">
      <c r="A107" t="s">
        <v>81</v>
      </c>
      <c r="B107" s="18">
        <f t="shared" si="2"/>
        <v>1952.01</v>
      </c>
      <c r="C107" s="4">
        <v>1.95201</v>
      </c>
      <c r="D107" s="2">
        <v>-7.2973100000000004</v>
      </c>
      <c r="H107" s="18">
        <f t="shared" si="3"/>
        <v>1066.92</v>
      </c>
      <c r="I107" s="4">
        <v>1.0669200000000001</v>
      </c>
      <c r="J107" s="2">
        <v>-22.4697</v>
      </c>
    </row>
    <row r="108" spans="1:10">
      <c r="A108" t="s">
        <v>82</v>
      </c>
      <c r="B108" s="18">
        <f t="shared" si="2"/>
        <v>1995.07</v>
      </c>
      <c r="C108" s="4">
        <v>1.9950699999999999</v>
      </c>
      <c r="D108" s="2">
        <v>-7.0157299999999996</v>
      </c>
      <c r="H108" s="18">
        <f t="shared" si="3"/>
        <v>1077.3800000000001</v>
      </c>
      <c r="I108" s="4">
        <v>1.07738</v>
      </c>
      <c r="J108" s="2">
        <v>-23.009699999999999</v>
      </c>
    </row>
    <row r="109" spans="1:10">
      <c r="B109" s="18">
        <f t="shared" si="2"/>
        <v>2058.35</v>
      </c>
      <c r="C109" s="4">
        <v>2.0583499999999999</v>
      </c>
      <c r="D109" s="2">
        <v>-8.0621100000000006</v>
      </c>
      <c r="H109" s="18">
        <f t="shared" si="3"/>
        <v>1091.72</v>
      </c>
      <c r="I109" s="4">
        <v>1.09172</v>
      </c>
      <c r="J109" s="2">
        <v>-20.8871</v>
      </c>
    </row>
    <row r="110" spans="1:10">
      <c r="A110" t="s">
        <v>83</v>
      </c>
      <c r="B110" s="18">
        <f t="shared" si="2"/>
        <v>2088.6999999999998</v>
      </c>
      <c r="C110" s="4">
        <v>2.0886999999999998</v>
      </c>
      <c r="D110" s="2">
        <v>-7.0306199999999999</v>
      </c>
      <c r="H110" s="18">
        <f t="shared" si="3"/>
        <v>1094.77</v>
      </c>
      <c r="I110" s="4">
        <v>1.09477</v>
      </c>
      <c r="J110" s="2">
        <v>-20.057500000000001</v>
      </c>
    </row>
    <row r="111" spans="1:10">
      <c r="A111" t="s">
        <v>83</v>
      </c>
      <c r="B111" s="18">
        <f t="shared" si="2"/>
        <v>2149.39</v>
      </c>
      <c r="C111" s="4">
        <v>2.1493899999999999</v>
      </c>
      <c r="D111" s="2">
        <v>-7.9832700000000001</v>
      </c>
      <c r="H111" s="18">
        <f t="shared" si="3"/>
        <v>1114.82</v>
      </c>
      <c r="I111" s="4">
        <v>1.1148199999999999</v>
      </c>
      <c r="J111" s="2">
        <v>-23.124500000000001</v>
      </c>
    </row>
    <row r="112" spans="1:10">
      <c r="A112" t="s">
        <v>84</v>
      </c>
      <c r="B112" s="18">
        <f t="shared" si="2"/>
        <v>2192.8200000000002</v>
      </c>
      <c r="C112" s="4">
        <v>2.1928200000000002</v>
      </c>
      <c r="D112" s="2">
        <v>-7.2798100000000003</v>
      </c>
      <c r="H112" s="18">
        <f t="shared" si="3"/>
        <v>1115.28</v>
      </c>
      <c r="I112" s="4">
        <v>1.11528</v>
      </c>
      <c r="J112" s="2">
        <v>-22.082699999999999</v>
      </c>
    </row>
    <row r="113" spans="1:10">
      <c r="A113" t="s">
        <v>85</v>
      </c>
      <c r="B113" s="18">
        <f t="shared" si="2"/>
        <v>2229.91</v>
      </c>
      <c r="C113" s="4">
        <v>2.2299099999999998</v>
      </c>
      <c r="D113" s="2">
        <v>-7.70139</v>
      </c>
      <c r="H113" s="18">
        <f t="shared" si="3"/>
        <v>1133.92</v>
      </c>
      <c r="I113" s="4">
        <v>1.13392</v>
      </c>
      <c r="J113" s="2">
        <v>-22.313800000000001</v>
      </c>
    </row>
    <row r="114" spans="1:10">
      <c r="A114" t="s">
        <v>85</v>
      </c>
      <c r="B114" s="18">
        <f t="shared" si="2"/>
        <v>2246.1099999999997</v>
      </c>
      <c r="C114" s="4">
        <v>2.2461099999999998</v>
      </c>
      <c r="D114" s="2">
        <v>-7.5293900000000002</v>
      </c>
      <c r="H114" s="18">
        <f t="shared" si="3"/>
        <v>1138.6000000000001</v>
      </c>
      <c r="I114" s="4">
        <v>1.1386000000000001</v>
      </c>
      <c r="J114" s="2">
        <v>-23.8185</v>
      </c>
    </row>
    <row r="115" spans="1:10">
      <c r="A115" t="s">
        <v>86</v>
      </c>
      <c r="B115" s="18">
        <f t="shared" si="2"/>
        <v>2250.9899999999998</v>
      </c>
      <c r="C115" s="4">
        <v>2.2509899999999998</v>
      </c>
      <c r="D115" s="2">
        <v>-8.0606000000000009</v>
      </c>
      <c r="H115" s="18">
        <f t="shared" si="3"/>
        <v>1152.73</v>
      </c>
      <c r="I115" s="4">
        <v>1.15273</v>
      </c>
      <c r="J115" s="2">
        <v>-22.158999999999999</v>
      </c>
    </row>
    <row r="116" spans="1:10">
      <c r="A116" t="s">
        <v>86</v>
      </c>
      <c r="B116" s="18">
        <f t="shared" si="2"/>
        <v>2260.08</v>
      </c>
      <c r="C116" s="4">
        <v>2.2600799999999999</v>
      </c>
      <c r="D116" s="2">
        <v>-6.87303</v>
      </c>
      <c r="H116" s="18">
        <f t="shared" si="3"/>
        <v>1161.9100000000001</v>
      </c>
      <c r="I116" s="4">
        <v>1.16191</v>
      </c>
      <c r="J116" s="2">
        <v>-19.5928</v>
      </c>
    </row>
    <row r="117" spans="1:10">
      <c r="A117" t="s">
        <v>87</v>
      </c>
      <c r="B117" s="18">
        <f t="shared" si="2"/>
        <v>2286.29</v>
      </c>
      <c r="C117" s="4">
        <v>2.2862900000000002</v>
      </c>
      <c r="D117" s="2">
        <v>-7.4821999999999997</v>
      </c>
      <c r="H117" s="18">
        <f t="shared" si="3"/>
        <v>1175.6400000000001</v>
      </c>
      <c r="I117" s="4">
        <v>1.17564</v>
      </c>
      <c r="J117" s="2">
        <v>-24.820799999999998</v>
      </c>
    </row>
    <row r="118" spans="1:10">
      <c r="A118" t="s">
        <v>88</v>
      </c>
      <c r="B118" s="18">
        <f t="shared" si="2"/>
        <v>2303.69</v>
      </c>
      <c r="C118" s="4">
        <v>2.30369</v>
      </c>
      <c r="D118" s="2">
        <v>-5.9664400000000004</v>
      </c>
      <c r="H118" s="18">
        <f t="shared" si="3"/>
        <v>1181.99</v>
      </c>
      <c r="I118" s="4">
        <v>1.1819900000000001</v>
      </c>
      <c r="J118" s="2">
        <v>-22.582699999999999</v>
      </c>
    </row>
    <row r="119" spans="1:10">
      <c r="B119" s="18">
        <f t="shared" si="2"/>
        <v>2313.71</v>
      </c>
      <c r="C119" s="4">
        <v>2.3137099999999999</v>
      </c>
      <c r="D119" s="2">
        <v>-6.7319899999999997</v>
      </c>
      <c r="H119" s="18">
        <f t="shared" si="3"/>
        <v>1197.7</v>
      </c>
      <c r="I119" s="4">
        <v>1.1977</v>
      </c>
      <c r="J119" s="2">
        <v>-23.392600000000002</v>
      </c>
    </row>
    <row r="120" spans="1:10">
      <c r="B120" s="18">
        <f t="shared" si="2"/>
        <v>2325.4499999999998</v>
      </c>
      <c r="C120" s="4">
        <v>2.32545</v>
      </c>
      <c r="D120" s="2">
        <v>-5.5756500000000004</v>
      </c>
      <c r="H120" s="18">
        <f t="shared" si="3"/>
        <v>1211.47</v>
      </c>
      <c r="I120" s="4">
        <v>1.21147</v>
      </c>
      <c r="J120" s="2">
        <v>-22.524100000000001</v>
      </c>
    </row>
    <row r="121" spans="1:10">
      <c r="B121" s="18">
        <f t="shared" si="2"/>
        <v>2336.5499999999997</v>
      </c>
      <c r="C121" s="4">
        <v>2.3365499999999999</v>
      </c>
      <c r="D121" s="2">
        <v>-8.1224299999999996</v>
      </c>
      <c r="H121" s="18">
        <f t="shared" si="3"/>
        <v>1226.17</v>
      </c>
      <c r="I121" s="4">
        <v>1.22617</v>
      </c>
      <c r="J121" s="2">
        <v>-19.571999999999999</v>
      </c>
    </row>
    <row r="122" spans="1:10">
      <c r="B122" s="18">
        <f t="shared" si="2"/>
        <v>2350.52</v>
      </c>
      <c r="C122" s="4">
        <v>2.3505199999999999</v>
      </c>
      <c r="D122" s="2">
        <v>-7.4660700000000002</v>
      </c>
      <c r="H122" s="18">
        <f t="shared" si="3"/>
        <v>1227.94</v>
      </c>
      <c r="I122" s="4">
        <v>1.22794</v>
      </c>
      <c r="J122" s="2">
        <v>-21.617000000000001</v>
      </c>
    </row>
    <row r="123" spans="1:10">
      <c r="B123" s="18">
        <f t="shared" si="2"/>
        <v>2368.7299999999996</v>
      </c>
      <c r="C123" s="4">
        <v>2.3687299999999998</v>
      </c>
      <c r="D123" s="2">
        <v>-8.04406</v>
      </c>
      <c r="H123" s="18">
        <f t="shared" si="3"/>
        <v>1243.58</v>
      </c>
      <c r="I123" s="4">
        <v>1.2435799999999999</v>
      </c>
      <c r="J123" s="2">
        <v>-22.561900000000001</v>
      </c>
    </row>
    <row r="124" spans="1:10">
      <c r="B124" s="18">
        <f t="shared" si="2"/>
        <v>2388.16</v>
      </c>
      <c r="C124" s="4">
        <v>2.3881600000000001</v>
      </c>
      <c r="D124" s="2">
        <v>-7.2626600000000003</v>
      </c>
      <c r="H124" s="18">
        <f t="shared" si="3"/>
        <v>1244.53</v>
      </c>
      <c r="I124" s="4">
        <v>1.2445299999999999</v>
      </c>
      <c r="J124" s="2">
        <v>-20.439699999999998</v>
      </c>
    </row>
    <row r="125" spans="1:10">
      <c r="B125" s="18">
        <f t="shared" si="2"/>
        <v>2414.77</v>
      </c>
      <c r="C125" s="4">
        <v>2.4147699999999999</v>
      </c>
      <c r="D125" s="2">
        <v>-7.4187000000000003</v>
      </c>
      <c r="H125" s="18">
        <f t="shared" si="3"/>
        <v>1257.31</v>
      </c>
      <c r="I125" s="4">
        <v>1.2573099999999999</v>
      </c>
      <c r="J125" s="2">
        <v>-21.789899999999999</v>
      </c>
    </row>
    <row r="126" spans="1:10">
      <c r="B126" s="18">
        <f t="shared" si="2"/>
        <v>2449.86</v>
      </c>
      <c r="C126" s="4">
        <v>2.4498600000000001</v>
      </c>
      <c r="D126" s="2">
        <v>-7.0746700000000002</v>
      </c>
      <c r="H126" s="18">
        <f t="shared" si="3"/>
        <v>1263</v>
      </c>
      <c r="I126" s="4">
        <v>1.2629999999999999</v>
      </c>
      <c r="J126" s="2">
        <v>-21.037299999999998</v>
      </c>
    </row>
    <row r="127" spans="1:10">
      <c r="B127" s="18">
        <f t="shared" si="2"/>
        <v>2471.1</v>
      </c>
      <c r="C127" s="4">
        <v>2.4710999999999999</v>
      </c>
      <c r="D127" s="2">
        <v>-7.2620100000000001</v>
      </c>
      <c r="H127" s="18">
        <f t="shared" si="3"/>
        <v>1273.3000000000002</v>
      </c>
      <c r="I127" s="4">
        <v>1.2733000000000001</v>
      </c>
      <c r="J127" s="2">
        <v>-21.963100000000001</v>
      </c>
    </row>
    <row r="128" spans="1:10">
      <c r="B128" s="18">
        <f t="shared" si="2"/>
        <v>2508.9199999999996</v>
      </c>
      <c r="C128" s="4">
        <v>2.5089199999999998</v>
      </c>
      <c r="D128" s="2">
        <v>-6.8554599999999999</v>
      </c>
      <c r="H128" s="18">
        <f t="shared" si="3"/>
        <v>1275.6499999999999</v>
      </c>
      <c r="I128" s="4">
        <v>1.27565</v>
      </c>
      <c r="J128" s="2">
        <v>-22.696200000000001</v>
      </c>
    </row>
    <row r="129" spans="1:10">
      <c r="B129" s="18">
        <f t="shared" si="2"/>
        <v>2530.29</v>
      </c>
      <c r="C129" s="4">
        <v>2.5302899999999999</v>
      </c>
      <c r="D129" s="2">
        <v>-6.9021699999999999</v>
      </c>
      <c r="H129" s="18">
        <f t="shared" si="3"/>
        <v>1291.93</v>
      </c>
      <c r="I129" s="4">
        <v>1.29193</v>
      </c>
      <c r="J129" s="2">
        <v>-22.2135</v>
      </c>
    </row>
    <row r="130" spans="1:10">
      <c r="A130" t="s">
        <v>89</v>
      </c>
      <c r="B130" s="18">
        <f t="shared" si="2"/>
        <v>2557.1799999999998</v>
      </c>
      <c r="C130" s="4">
        <v>2.5571799999999998</v>
      </c>
      <c r="D130" s="2">
        <v>-6.7457099999999999</v>
      </c>
      <c r="H130" s="18">
        <f t="shared" si="3"/>
        <v>1300.99</v>
      </c>
      <c r="I130" s="4">
        <v>1.3009900000000001</v>
      </c>
      <c r="J130" s="2">
        <v>-19.9175</v>
      </c>
    </row>
    <row r="131" spans="1:10">
      <c r="A131" t="s">
        <v>90</v>
      </c>
      <c r="B131" s="18">
        <f t="shared" ref="B131:B181" si="4">C131*1000</f>
        <v>2580.44</v>
      </c>
      <c r="C131" s="4">
        <v>2.5804399999999998</v>
      </c>
      <c r="D131" s="2">
        <v>-7.6673999999999998</v>
      </c>
      <c r="H131" s="18">
        <f t="shared" ref="H131:H140" si="5">I131*1000</f>
        <v>1305.1699999999998</v>
      </c>
      <c r="I131" s="4">
        <v>1.3051699999999999</v>
      </c>
      <c r="J131" s="2">
        <v>-22.5411</v>
      </c>
    </row>
    <row r="132" spans="1:10">
      <c r="A132" t="s">
        <v>89</v>
      </c>
      <c r="B132" s="18">
        <f t="shared" si="4"/>
        <v>2597.52</v>
      </c>
      <c r="C132" s="4">
        <v>2.5975199999999998</v>
      </c>
      <c r="D132" s="2">
        <v>-6.5110200000000003</v>
      </c>
      <c r="H132" s="18">
        <f t="shared" si="5"/>
        <v>1305.6500000000001</v>
      </c>
      <c r="I132" s="4">
        <v>1.30565</v>
      </c>
      <c r="J132" s="2">
        <v>-21.460699999999999</v>
      </c>
    </row>
    <row r="133" spans="1:10">
      <c r="B133" s="18">
        <f t="shared" si="4"/>
        <v>2629.4900000000002</v>
      </c>
      <c r="C133" s="4">
        <v>2.6294900000000001</v>
      </c>
      <c r="D133" s="2">
        <v>-6.6670199999999999</v>
      </c>
      <c r="H133" s="18">
        <f t="shared" si="5"/>
        <v>1310.8500000000001</v>
      </c>
      <c r="I133" s="4">
        <v>1.3108500000000001</v>
      </c>
      <c r="J133" s="2">
        <v>-21.8079</v>
      </c>
    </row>
    <row r="134" spans="1:10">
      <c r="B134" s="18">
        <f t="shared" si="4"/>
        <v>2651.13</v>
      </c>
      <c r="C134" s="4">
        <v>2.6511300000000002</v>
      </c>
      <c r="D134" s="2">
        <v>-6.40123</v>
      </c>
      <c r="H134" s="18">
        <f t="shared" si="5"/>
        <v>1320.86</v>
      </c>
      <c r="I134" s="4">
        <v>1.3208599999999999</v>
      </c>
      <c r="J134" s="2">
        <v>-23.3703</v>
      </c>
    </row>
    <row r="135" spans="1:10">
      <c r="B135" s="18">
        <f t="shared" si="4"/>
        <v>2680.56</v>
      </c>
      <c r="C135" s="4">
        <v>2.6805599999999998</v>
      </c>
      <c r="D135" s="2">
        <v>-6.4009999999999998</v>
      </c>
      <c r="H135" s="18">
        <f t="shared" si="5"/>
        <v>1326.65</v>
      </c>
      <c r="I135" s="4">
        <v>1.3266500000000001</v>
      </c>
      <c r="J135" s="2">
        <v>-22.4056</v>
      </c>
    </row>
    <row r="136" spans="1:10">
      <c r="B136" s="18">
        <f t="shared" si="4"/>
        <v>2690.72</v>
      </c>
      <c r="C136" s="4">
        <v>2.6907199999999998</v>
      </c>
      <c r="D136" s="2">
        <v>-7.0102900000000004</v>
      </c>
      <c r="H136" s="18">
        <f t="shared" si="5"/>
        <v>1333.8000000000002</v>
      </c>
      <c r="I136" s="4">
        <v>1.3338000000000001</v>
      </c>
      <c r="J136" s="2">
        <v>-24.392499999999998</v>
      </c>
    </row>
    <row r="137" spans="1:10">
      <c r="B137" s="18">
        <f t="shared" si="4"/>
        <v>2704.7400000000002</v>
      </c>
      <c r="C137" s="4">
        <v>2.7047400000000001</v>
      </c>
      <c r="D137" s="2">
        <v>-6.2914300000000001</v>
      </c>
      <c r="H137" s="18">
        <f t="shared" si="5"/>
        <v>1342.54</v>
      </c>
      <c r="I137" s="4">
        <v>1.3425400000000001</v>
      </c>
      <c r="J137" s="2">
        <v>-22.791</v>
      </c>
    </row>
    <row r="138" spans="1:10">
      <c r="B138" s="18">
        <f t="shared" si="4"/>
        <v>2730.5899999999997</v>
      </c>
      <c r="C138" s="4">
        <v>2.7305899999999999</v>
      </c>
      <c r="D138" s="2">
        <v>-4.3068499999999998</v>
      </c>
      <c r="H138" s="18">
        <f t="shared" si="5"/>
        <v>1350.19</v>
      </c>
      <c r="I138" s="4">
        <v>1.35019</v>
      </c>
      <c r="J138" s="2">
        <v>-23.658999999999999</v>
      </c>
    </row>
    <row r="139" spans="1:10">
      <c r="B139" s="18">
        <f t="shared" si="4"/>
        <v>2748.1</v>
      </c>
      <c r="C139" s="4">
        <v>2.7481</v>
      </c>
      <c r="D139" s="2">
        <v>-5.6817200000000003</v>
      </c>
      <c r="H139" s="18">
        <f t="shared" si="5"/>
        <v>1363.99</v>
      </c>
      <c r="I139" s="4">
        <v>1.36399</v>
      </c>
      <c r="J139" s="2">
        <v>-22.732700000000001</v>
      </c>
    </row>
    <row r="140" spans="1:10">
      <c r="B140" s="18">
        <f t="shared" si="4"/>
        <v>2779.2799999999997</v>
      </c>
      <c r="C140" s="4">
        <v>2.77928</v>
      </c>
      <c r="D140" s="2">
        <v>-6.71272</v>
      </c>
      <c r="H140" s="18">
        <f t="shared" si="5"/>
        <v>1376.9199999999998</v>
      </c>
      <c r="I140" s="4">
        <v>1.3769199999999999</v>
      </c>
      <c r="J140" s="2">
        <v>-23.754799999999999</v>
      </c>
    </row>
    <row r="141" spans="1:10">
      <c r="B141" s="18">
        <f t="shared" si="4"/>
        <v>2807.92</v>
      </c>
      <c r="C141" s="4">
        <v>2.8079200000000002</v>
      </c>
      <c r="D141" s="2">
        <v>-4.6031300000000002</v>
      </c>
      <c r="H141" s="18">
        <f>I141*1000</f>
        <v>1385.31</v>
      </c>
      <c r="I141" s="4">
        <v>1.38531</v>
      </c>
      <c r="J141" s="2">
        <v>-22.944400000000002</v>
      </c>
    </row>
    <row r="142" spans="1:10">
      <c r="B142" s="18">
        <f t="shared" si="4"/>
        <v>2823.88</v>
      </c>
      <c r="C142" s="4">
        <v>2.8238799999999999</v>
      </c>
      <c r="D142" s="2">
        <v>-4.7123799999999996</v>
      </c>
      <c r="H142" s="18">
        <f t="shared" ref="H142:H205" si="6">I142*1000</f>
        <v>1408.8799999999999</v>
      </c>
      <c r="I142" s="4">
        <v>1.4088799999999999</v>
      </c>
      <c r="J142" s="2">
        <v>-24.1206</v>
      </c>
    </row>
    <row r="143" spans="1:10">
      <c r="B143" s="18">
        <f t="shared" si="4"/>
        <v>2833.2999999999997</v>
      </c>
      <c r="C143" s="4">
        <v>2.8332999999999999</v>
      </c>
      <c r="D143" s="2">
        <v>-6.1497999999999999</v>
      </c>
      <c r="H143" s="18">
        <f t="shared" si="6"/>
        <v>1414.8400000000001</v>
      </c>
      <c r="I143" s="4">
        <v>1.4148400000000001</v>
      </c>
      <c r="J143" s="2">
        <v>-22.77</v>
      </c>
    </row>
    <row r="144" spans="1:10">
      <c r="B144" s="18">
        <f t="shared" si="4"/>
        <v>2849.66</v>
      </c>
      <c r="C144" s="4">
        <v>2.8496600000000001</v>
      </c>
      <c r="D144" s="2">
        <v>-5.8059200000000004</v>
      </c>
      <c r="H144" s="18">
        <f t="shared" si="6"/>
        <v>1430.8600000000001</v>
      </c>
      <c r="I144" s="4">
        <v>1.43086</v>
      </c>
      <c r="J144" s="2">
        <v>-22.866099999999999</v>
      </c>
    </row>
    <row r="145" spans="2:10">
      <c r="B145" s="18">
        <f t="shared" si="4"/>
        <v>2862.0299999999997</v>
      </c>
      <c r="C145" s="4">
        <v>2.8620299999999999</v>
      </c>
      <c r="D145" s="2">
        <v>-6.9308300000000003</v>
      </c>
      <c r="H145" s="18">
        <f t="shared" si="6"/>
        <v>1438.51</v>
      </c>
      <c r="I145" s="4">
        <v>1.43851</v>
      </c>
      <c r="J145" s="2">
        <v>-23.734100000000002</v>
      </c>
    </row>
    <row r="146" spans="2:10">
      <c r="B146" s="18">
        <f t="shared" si="4"/>
        <v>2872.6</v>
      </c>
      <c r="C146" s="4">
        <v>2.8725999999999998</v>
      </c>
      <c r="D146" s="2">
        <v>-7.0869999999999997</v>
      </c>
      <c r="H146" s="18">
        <f t="shared" si="6"/>
        <v>1460.42</v>
      </c>
      <c r="I146" s="4">
        <v>1.4604200000000001</v>
      </c>
      <c r="J146" s="2">
        <v>-22.633900000000001</v>
      </c>
    </row>
    <row r="147" spans="2:10">
      <c r="B147" s="18">
        <f t="shared" si="4"/>
        <v>2911.81</v>
      </c>
      <c r="C147" s="4">
        <v>2.91181</v>
      </c>
      <c r="D147" s="2">
        <v>-5.1179399999999999</v>
      </c>
      <c r="H147" s="18">
        <f t="shared" si="6"/>
        <v>1478.6</v>
      </c>
      <c r="I147" s="4">
        <v>1.4785999999999999</v>
      </c>
      <c r="J147" s="2">
        <v>-23.8874</v>
      </c>
    </row>
    <row r="148" spans="2:10">
      <c r="B148" s="18">
        <f t="shared" si="4"/>
        <v>2950.29</v>
      </c>
      <c r="C148" s="4">
        <v>2.9502899999999999</v>
      </c>
      <c r="D148" s="2">
        <v>-6.9770099999999999</v>
      </c>
      <c r="H148" s="18">
        <f t="shared" si="6"/>
        <v>1484.34</v>
      </c>
      <c r="I148" s="4">
        <v>1.48434</v>
      </c>
      <c r="J148" s="2">
        <v>-23.019100000000002</v>
      </c>
    </row>
    <row r="149" spans="2:10">
      <c r="B149" s="18">
        <f t="shared" si="4"/>
        <v>2974.44</v>
      </c>
      <c r="C149" s="4">
        <v>2.97444</v>
      </c>
      <c r="D149" s="2">
        <v>-6.8986999999999998</v>
      </c>
      <c r="H149" s="18">
        <f t="shared" si="6"/>
        <v>1513.86</v>
      </c>
      <c r="I149" s="4">
        <v>1.51386</v>
      </c>
      <c r="J149" s="2">
        <v>-22.864100000000001</v>
      </c>
    </row>
    <row r="150" spans="2:10">
      <c r="B150" s="18">
        <f t="shared" si="4"/>
        <v>2984.66</v>
      </c>
      <c r="C150" s="4">
        <v>2.9846599999999999</v>
      </c>
      <c r="D150" s="2">
        <v>-7.4298700000000002</v>
      </c>
      <c r="H150" s="18">
        <f t="shared" si="6"/>
        <v>1529.79</v>
      </c>
      <c r="I150" s="4">
        <v>1.52979</v>
      </c>
      <c r="J150" s="2">
        <v>-23.1724</v>
      </c>
    </row>
    <row r="151" spans="2:10">
      <c r="B151" s="18">
        <f t="shared" si="4"/>
        <v>3014.15</v>
      </c>
      <c r="C151" s="4">
        <v>3.0141499999999999</v>
      </c>
      <c r="D151" s="2">
        <v>-7.36714</v>
      </c>
      <c r="H151" s="18">
        <f t="shared" si="6"/>
        <v>1539.9199999999998</v>
      </c>
      <c r="I151" s="4">
        <v>1.53992</v>
      </c>
      <c r="J151" s="2">
        <v>-24.464700000000001</v>
      </c>
    </row>
    <row r="152" spans="2:10">
      <c r="B152" s="18">
        <f t="shared" si="4"/>
        <v>3017.22</v>
      </c>
      <c r="C152" s="4">
        <v>3.01722</v>
      </c>
      <c r="D152" s="2">
        <v>-6.9296199999999999</v>
      </c>
      <c r="H152" s="18">
        <f t="shared" si="6"/>
        <v>1551.37</v>
      </c>
      <c r="I152" s="4">
        <v>1.5513699999999999</v>
      </c>
      <c r="J152" s="2">
        <v>-22.805299999999999</v>
      </c>
    </row>
    <row r="153" spans="2:10">
      <c r="B153" s="18">
        <f t="shared" si="4"/>
        <v>3027.92</v>
      </c>
      <c r="C153" s="4">
        <v>3.0279199999999999</v>
      </c>
      <c r="D153" s="2">
        <v>-6.9295299999999997</v>
      </c>
      <c r="H153" s="18">
        <f t="shared" si="6"/>
        <v>1566.9599999999998</v>
      </c>
      <c r="I153" s="4">
        <v>1.5669599999999999</v>
      </c>
      <c r="J153" s="2">
        <v>-23.866</v>
      </c>
    </row>
    <row r="154" spans="2:10">
      <c r="B154" s="18">
        <f t="shared" si="4"/>
        <v>3046.7200000000003</v>
      </c>
      <c r="C154" s="4">
        <v>3.0467200000000001</v>
      </c>
      <c r="D154" s="2">
        <v>-6.8512599999999999</v>
      </c>
      <c r="H154" s="18">
        <f t="shared" si="6"/>
        <v>1578.27</v>
      </c>
      <c r="I154" s="4">
        <v>1.5782700000000001</v>
      </c>
      <c r="J154" s="2">
        <v>-22.534600000000001</v>
      </c>
    </row>
    <row r="155" spans="2:10">
      <c r="B155" s="18">
        <f t="shared" si="4"/>
        <v>3064.36</v>
      </c>
      <c r="C155" s="4">
        <v>3.0643600000000002</v>
      </c>
      <c r="D155" s="2">
        <v>-8.0698699999999999</v>
      </c>
      <c r="H155" s="18">
        <f t="shared" si="6"/>
        <v>1583.21</v>
      </c>
      <c r="I155" s="4">
        <v>1.58321</v>
      </c>
      <c r="J155" s="2">
        <v>-23.4605</v>
      </c>
    </row>
    <row r="156" spans="2:10">
      <c r="B156" s="18">
        <f t="shared" si="4"/>
        <v>3145.31</v>
      </c>
      <c r="C156" s="4">
        <v>3.1453099999999998</v>
      </c>
      <c r="D156" s="2">
        <v>-7.3036099999999999</v>
      </c>
      <c r="H156" s="18">
        <f t="shared" si="6"/>
        <v>1604.7800000000002</v>
      </c>
      <c r="I156" s="4">
        <v>1.6047800000000001</v>
      </c>
      <c r="J156" s="2">
        <v>-23.1127</v>
      </c>
    </row>
    <row r="157" spans="2:10">
      <c r="B157" s="18">
        <f t="shared" si="4"/>
        <v>3155.92</v>
      </c>
      <c r="C157" s="4">
        <v>3.1559200000000001</v>
      </c>
      <c r="D157" s="2">
        <v>-7.4129100000000001</v>
      </c>
      <c r="H157" s="18">
        <f t="shared" si="6"/>
        <v>1606.95</v>
      </c>
      <c r="I157" s="4">
        <v>1.6069500000000001</v>
      </c>
      <c r="J157" s="2">
        <v>-24.250900000000001</v>
      </c>
    </row>
    <row r="158" spans="2:10">
      <c r="B158" s="18">
        <f t="shared" si="4"/>
        <v>3187.59</v>
      </c>
      <c r="C158" s="4">
        <v>3.1875900000000001</v>
      </c>
      <c r="D158" s="2">
        <v>-7.89703</v>
      </c>
      <c r="H158" s="18">
        <f t="shared" si="6"/>
        <v>1623.78</v>
      </c>
      <c r="I158" s="4">
        <v>1.62378</v>
      </c>
      <c r="J158" s="2">
        <v>-22.5335</v>
      </c>
    </row>
    <row r="159" spans="2:10">
      <c r="B159" s="18">
        <f t="shared" si="4"/>
        <v>3230.42</v>
      </c>
      <c r="C159" s="4">
        <v>3.2304200000000001</v>
      </c>
      <c r="D159" s="2">
        <v>-7.8810700000000002</v>
      </c>
      <c r="H159" s="18">
        <f t="shared" si="6"/>
        <v>1628.47</v>
      </c>
      <c r="I159" s="4">
        <v>1.6284700000000001</v>
      </c>
      <c r="J159" s="2">
        <v>-24.018899999999999</v>
      </c>
    </row>
    <row r="160" spans="2:10">
      <c r="B160" s="18">
        <f t="shared" si="4"/>
        <v>3272.7</v>
      </c>
      <c r="C160" s="4">
        <v>3.2726999999999999</v>
      </c>
      <c r="D160" s="2">
        <v>-8.4744899999999994</v>
      </c>
      <c r="H160" s="18">
        <f t="shared" si="6"/>
        <v>1636.96</v>
      </c>
      <c r="I160" s="4">
        <v>1.63696</v>
      </c>
      <c r="J160" s="2">
        <v>-22.996200000000002</v>
      </c>
    </row>
    <row r="161" spans="2:10">
      <c r="B161" s="18">
        <f t="shared" si="4"/>
        <v>3297.0299999999997</v>
      </c>
      <c r="C161" s="4">
        <v>3.2970299999999999</v>
      </c>
      <c r="D161" s="2">
        <v>-8.1930499999999995</v>
      </c>
      <c r="H161" s="18">
        <f t="shared" si="6"/>
        <v>1665.99</v>
      </c>
      <c r="I161" s="4">
        <v>1.6659900000000001</v>
      </c>
      <c r="J161" s="2">
        <v>-23.940799999999999</v>
      </c>
    </row>
    <row r="162" spans="2:10">
      <c r="B162" s="18">
        <f t="shared" si="4"/>
        <v>3358.45</v>
      </c>
      <c r="C162" s="4">
        <v>3.3584499999999999</v>
      </c>
      <c r="D162" s="2">
        <v>-8.3175699999999999</v>
      </c>
      <c r="H162" s="18">
        <f t="shared" si="6"/>
        <v>1669.0100000000002</v>
      </c>
      <c r="I162" s="4">
        <v>1.6690100000000001</v>
      </c>
      <c r="J162" s="2">
        <v>-23.169</v>
      </c>
    </row>
    <row r="163" spans="2:10">
      <c r="B163" s="18">
        <f t="shared" si="4"/>
        <v>3428.15</v>
      </c>
      <c r="C163" s="4">
        <v>3.42815</v>
      </c>
      <c r="D163" s="2">
        <v>-8.1764100000000006</v>
      </c>
      <c r="H163" s="18">
        <f t="shared" si="6"/>
        <v>1697.91</v>
      </c>
      <c r="I163" s="4">
        <v>1.69791</v>
      </c>
      <c r="J163" s="2">
        <v>-24.403099999999998</v>
      </c>
    </row>
    <row r="164" spans="2:10">
      <c r="B164" s="18">
        <f t="shared" si="4"/>
        <v>3473.1299999999997</v>
      </c>
      <c r="C164" s="4">
        <v>3.4731299999999998</v>
      </c>
      <c r="D164" s="2">
        <v>-8.73855</v>
      </c>
      <c r="H164" s="18">
        <f t="shared" si="6"/>
        <v>1725.3899999999999</v>
      </c>
      <c r="I164" s="4">
        <v>1.72539</v>
      </c>
      <c r="J164" s="2">
        <v>-22.839700000000001</v>
      </c>
    </row>
    <row r="165" spans="2:10">
      <c r="B165" s="18">
        <f t="shared" si="4"/>
        <v>3521.83</v>
      </c>
      <c r="C165" s="4">
        <v>3.52183</v>
      </c>
      <c r="D165" s="2">
        <v>-8.1288</v>
      </c>
      <c r="H165" s="18">
        <f t="shared" si="6"/>
        <v>1738.45</v>
      </c>
      <c r="I165" s="4">
        <v>1.7384500000000001</v>
      </c>
      <c r="J165" s="2">
        <v>-23.572500000000002</v>
      </c>
    </row>
    <row r="166" spans="2:10">
      <c r="B166" s="18">
        <f t="shared" si="4"/>
        <v>3532.41</v>
      </c>
      <c r="C166" s="4">
        <v>3.53241</v>
      </c>
      <c r="D166" s="2">
        <v>-8.2693399999999997</v>
      </c>
      <c r="H166" s="18">
        <f t="shared" si="6"/>
        <v>1751.63</v>
      </c>
      <c r="I166" s="4">
        <v>1.75163</v>
      </c>
      <c r="J166" s="2">
        <v>-24.015899999999998</v>
      </c>
    </row>
    <row r="167" spans="2:10">
      <c r="B167" s="18">
        <f t="shared" si="4"/>
        <v>3540.31</v>
      </c>
      <c r="C167" s="4">
        <v>3.5403099999999998</v>
      </c>
      <c r="D167" s="2">
        <v>-8.4099000000000004</v>
      </c>
      <c r="H167" s="18">
        <f t="shared" si="6"/>
        <v>1752.1899999999998</v>
      </c>
      <c r="I167" s="4">
        <v>1.7521899999999999</v>
      </c>
      <c r="J167" s="2">
        <v>-22.781199999999998</v>
      </c>
    </row>
    <row r="168" spans="2:10">
      <c r="B168" s="18">
        <f t="shared" si="4"/>
        <v>3564.41</v>
      </c>
      <c r="C168" s="4">
        <v>3.5644100000000001</v>
      </c>
      <c r="D168" s="2">
        <v>-8.3940900000000003</v>
      </c>
      <c r="H168" s="18">
        <f t="shared" si="6"/>
        <v>1768.06</v>
      </c>
      <c r="I168" s="4">
        <v>1.76806</v>
      </c>
      <c r="J168" s="2">
        <v>-23.205200000000001</v>
      </c>
    </row>
    <row r="169" spans="2:10">
      <c r="B169" s="18">
        <f t="shared" si="4"/>
        <v>3599.26</v>
      </c>
      <c r="C169" s="4">
        <v>3.5992600000000001</v>
      </c>
      <c r="D169" s="2">
        <v>-8.31569</v>
      </c>
      <c r="H169" s="18">
        <f t="shared" si="6"/>
        <v>1781.3000000000002</v>
      </c>
      <c r="I169" s="4">
        <v>1.7813000000000001</v>
      </c>
      <c r="J169" s="2">
        <v>-23.532900000000001</v>
      </c>
    </row>
    <row r="170" spans="2:10">
      <c r="B170" s="18">
        <f t="shared" si="4"/>
        <v>3609.78</v>
      </c>
      <c r="C170" s="4">
        <v>3.6097800000000002</v>
      </c>
      <c r="D170" s="2">
        <v>-8.5187399999999993</v>
      </c>
      <c r="H170" s="18">
        <f t="shared" si="6"/>
        <v>1789.0900000000001</v>
      </c>
      <c r="I170" s="4">
        <v>1.7890900000000001</v>
      </c>
      <c r="J170" s="2">
        <v>-24.072900000000001</v>
      </c>
    </row>
    <row r="171" spans="2:10">
      <c r="B171" s="18">
        <f t="shared" si="4"/>
        <v>3652.4100000000003</v>
      </c>
      <c r="C171" s="4">
        <v>3.6524100000000002</v>
      </c>
      <c r="D171" s="2">
        <v>-8.7215299999999996</v>
      </c>
      <c r="H171" s="18">
        <f t="shared" si="6"/>
        <v>1805.27</v>
      </c>
      <c r="I171" s="4">
        <v>1.8052699999999999</v>
      </c>
      <c r="J171" s="2">
        <v>-23.8217</v>
      </c>
    </row>
    <row r="172" spans="2:10">
      <c r="B172" s="18">
        <f t="shared" si="4"/>
        <v>3660.34</v>
      </c>
      <c r="C172" s="4">
        <v>3.6603400000000001</v>
      </c>
      <c r="D172" s="2">
        <v>-8.8308400000000002</v>
      </c>
      <c r="H172" s="18">
        <f t="shared" si="6"/>
        <v>1823.81</v>
      </c>
      <c r="I172" s="4">
        <v>1.8238099999999999</v>
      </c>
      <c r="J172" s="2">
        <v>-24.265000000000001</v>
      </c>
    </row>
    <row r="173" spans="2:10">
      <c r="B173" s="18">
        <f t="shared" si="4"/>
        <v>3673.55</v>
      </c>
      <c r="C173" s="4">
        <v>3.6735500000000001</v>
      </c>
      <c r="D173" s="2">
        <v>-9.0182400000000005</v>
      </c>
      <c r="H173" s="18">
        <f t="shared" si="6"/>
        <v>1837.47</v>
      </c>
      <c r="I173" s="4">
        <v>1.8374699999999999</v>
      </c>
      <c r="J173" s="2">
        <v>-23.666599999999999</v>
      </c>
    </row>
    <row r="174" spans="2:10">
      <c r="B174" s="18">
        <f t="shared" si="4"/>
        <v>3700.1</v>
      </c>
      <c r="C174" s="4">
        <v>3.7000999999999999</v>
      </c>
      <c r="D174" s="2">
        <v>-9.2524099999999994</v>
      </c>
      <c r="H174" s="18">
        <f t="shared" si="6"/>
        <v>1858.64</v>
      </c>
      <c r="I174" s="4">
        <v>1.8586400000000001</v>
      </c>
      <c r="J174" s="2">
        <v>-24.206299999999999</v>
      </c>
    </row>
    <row r="175" spans="2:10">
      <c r="B175" s="18">
        <f t="shared" si="4"/>
        <v>3716.25</v>
      </c>
      <c r="C175" s="4">
        <v>3.7162500000000001</v>
      </c>
      <c r="D175" s="2">
        <v>-9.1428999999999991</v>
      </c>
      <c r="H175" s="18">
        <f t="shared" si="6"/>
        <v>1872.3300000000002</v>
      </c>
      <c r="I175" s="4">
        <v>1.87233</v>
      </c>
      <c r="J175" s="2">
        <v>-23.5307</v>
      </c>
    </row>
    <row r="176" spans="2:10">
      <c r="B176" s="18">
        <f t="shared" si="4"/>
        <v>3727.06</v>
      </c>
      <c r="C176" s="4">
        <v>3.7270599999999998</v>
      </c>
      <c r="D176" s="2">
        <v>-9.0178200000000004</v>
      </c>
      <c r="H176" s="18">
        <f t="shared" si="6"/>
        <v>1885.1299999999999</v>
      </c>
      <c r="I176" s="4">
        <v>1.88513</v>
      </c>
      <c r="J176" s="2">
        <v>-24.861599999999999</v>
      </c>
    </row>
    <row r="177" spans="2:10">
      <c r="B177" s="18">
        <f t="shared" si="4"/>
        <v>3772.67</v>
      </c>
      <c r="C177" s="4">
        <v>3.7726700000000002</v>
      </c>
      <c r="D177" s="2">
        <v>-8.8768399999999996</v>
      </c>
      <c r="H177" s="18">
        <f t="shared" si="6"/>
        <v>1907.09</v>
      </c>
      <c r="I177" s="4">
        <v>1.90709</v>
      </c>
      <c r="J177" s="2">
        <v>-23.645600000000002</v>
      </c>
    </row>
    <row r="178" spans="2:10">
      <c r="B178" s="18">
        <f t="shared" si="4"/>
        <v>3799.36</v>
      </c>
      <c r="C178" s="4">
        <v>3.7993600000000001</v>
      </c>
      <c r="D178" s="2">
        <v>-8.9547600000000003</v>
      </c>
      <c r="H178" s="18">
        <f t="shared" si="6"/>
        <v>1925.67</v>
      </c>
      <c r="I178" s="4">
        <v>1.92567</v>
      </c>
      <c r="J178" s="2">
        <v>-23.9924</v>
      </c>
    </row>
    <row r="179" spans="2:10">
      <c r="B179" s="18">
        <f t="shared" si="4"/>
        <v>3823.66</v>
      </c>
      <c r="C179" s="4">
        <v>3.8236599999999998</v>
      </c>
      <c r="D179" s="2">
        <v>-8.7045700000000004</v>
      </c>
      <c r="H179" s="18">
        <f t="shared" si="6"/>
        <v>1955.33</v>
      </c>
      <c r="I179" s="4">
        <v>1.95533</v>
      </c>
      <c r="J179" s="2">
        <v>-23.528700000000001</v>
      </c>
    </row>
    <row r="180" spans="2:10">
      <c r="B180" s="18">
        <f t="shared" si="4"/>
        <v>3845.1499999999996</v>
      </c>
      <c r="C180" s="4">
        <v>3.8451499999999998</v>
      </c>
      <c r="D180" s="2">
        <v>-8.6106499999999997</v>
      </c>
      <c r="H180" s="18">
        <f t="shared" si="6"/>
        <v>1971.0700000000002</v>
      </c>
      <c r="I180" s="4">
        <v>1.9710700000000001</v>
      </c>
      <c r="J180" s="2">
        <v>-24.261399999999998</v>
      </c>
    </row>
    <row r="181" spans="2:10">
      <c r="B181" s="18">
        <f t="shared" si="4"/>
        <v>3871.75</v>
      </c>
      <c r="C181" s="4">
        <v>3.87175</v>
      </c>
      <c r="D181" s="2">
        <v>-8.7823100000000007</v>
      </c>
      <c r="H181" s="18">
        <f t="shared" si="6"/>
        <v>1980.26</v>
      </c>
      <c r="I181" s="4">
        <v>1.9802599999999999</v>
      </c>
      <c r="J181" s="2">
        <v>-21.675999999999998</v>
      </c>
    </row>
    <row r="182" spans="2:10">
      <c r="H182" s="18">
        <f t="shared" si="6"/>
        <v>1990.53</v>
      </c>
      <c r="I182" s="4">
        <v>1.9905299999999999</v>
      </c>
      <c r="J182" s="2">
        <v>-22.6404</v>
      </c>
    </row>
    <row r="183" spans="2:10">
      <c r="H183" s="18">
        <f t="shared" si="6"/>
        <v>2007.03</v>
      </c>
      <c r="I183" s="4">
        <v>2.0070299999999999</v>
      </c>
      <c r="J183" s="2">
        <v>-21.6753</v>
      </c>
    </row>
    <row r="184" spans="2:10">
      <c r="H184" s="18">
        <f t="shared" si="6"/>
        <v>2011.95</v>
      </c>
      <c r="I184" s="4">
        <v>2.0119500000000001</v>
      </c>
      <c r="J184" s="2">
        <v>-22.659099999999999</v>
      </c>
    </row>
    <row r="185" spans="2:10">
      <c r="H185" s="18">
        <f t="shared" si="6"/>
        <v>2022.31</v>
      </c>
      <c r="I185" s="4">
        <v>2.0223100000000001</v>
      </c>
      <c r="J185" s="2">
        <v>-23.430599999999998</v>
      </c>
    </row>
    <row r="186" spans="2:10">
      <c r="H186" s="18">
        <f t="shared" si="6"/>
        <v>2038.8099999999997</v>
      </c>
      <c r="I186" s="4">
        <v>2.0388099999999998</v>
      </c>
      <c r="J186" s="2">
        <v>-22.446300000000001</v>
      </c>
    </row>
    <row r="187" spans="2:10">
      <c r="H187" s="18">
        <f t="shared" si="6"/>
        <v>2044.4399999999998</v>
      </c>
      <c r="I187" s="4">
        <v>2.0444399999999998</v>
      </c>
      <c r="J187" s="2">
        <v>-21.828800000000001</v>
      </c>
    </row>
    <row r="188" spans="2:10">
      <c r="H188" s="18">
        <f t="shared" si="6"/>
        <v>2054.7200000000003</v>
      </c>
      <c r="I188" s="4">
        <v>2.0547200000000001</v>
      </c>
      <c r="J188" s="2">
        <v>-22.793199999999999</v>
      </c>
    </row>
    <row r="189" spans="2:10">
      <c r="H189" s="18">
        <f t="shared" si="6"/>
        <v>2084.6</v>
      </c>
      <c r="I189" s="4">
        <v>2.0846</v>
      </c>
      <c r="J189" s="2">
        <v>-21.847100000000001</v>
      </c>
    </row>
    <row r="190" spans="2:10">
      <c r="H190" s="18">
        <f t="shared" si="6"/>
        <v>2089.1099999999997</v>
      </c>
      <c r="I190" s="4">
        <v>2.0891099999999998</v>
      </c>
      <c r="J190" s="2">
        <v>-23.7377</v>
      </c>
    </row>
    <row r="191" spans="2:10">
      <c r="H191" s="18">
        <f t="shared" si="6"/>
        <v>2110.1899999999996</v>
      </c>
      <c r="I191" s="4">
        <v>2.1101899999999998</v>
      </c>
      <c r="J191" s="2">
        <v>-24.489599999999999</v>
      </c>
    </row>
    <row r="192" spans="2:10">
      <c r="H192" s="18">
        <f t="shared" si="6"/>
        <v>2134.4899999999998</v>
      </c>
      <c r="I192" s="4">
        <v>2.13449</v>
      </c>
      <c r="J192" s="2">
        <v>-24.026</v>
      </c>
    </row>
    <row r="193" spans="8:10">
      <c r="H193" s="18">
        <f t="shared" si="6"/>
        <v>2140.4700000000003</v>
      </c>
      <c r="I193" s="4">
        <v>2.1404700000000001</v>
      </c>
      <c r="J193" s="2">
        <v>-22.636800000000001</v>
      </c>
    </row>
    <row r="194" spans="8:10">
      <c r="H194" s="18">
        <f t="shared" si="6"/>
        <v>2151.0600000000004</v>
      </c>
      <c r="I194" s="4">
        <v>2.1510600000000002</v>
      </c>
      <c r="J194" s="2">
        <v>-22.906600000000001</v>
      </c>
    </row>
    <row r="195" spans="8:10">
      <c r="H195" s="18">
        <f t="shared" si="6"/>
        <v>2171.81</v>
      </c>
      <c r="I195" s="4">
        <v>2.1718099999999998</v>
      </c>
      <c r="J195" s="2">
        <v>-24.3916</v>
      </c>
    </row>
    <row r="196" spans="8:10">
      <c r="H196" s="18">
        <f t="shared" si="6"/>
        <v>2180.16</v>
      </c>
      <c r="I196" s="4">
        <v>2.1801599999999999</v>
      </c>
      <c r="J196" s="2">
        <v>-23.696899999999999</v>
      </c>
    </row>
    <row r="197" spans="8:10">
      <c r="H197" s="18">
        <f t="shared" si="6"/>
        <v>2222.8599999999997</v>
      </c>
      <c r="I197" s="4">
        <v>2.2228599999999998</v>
      </c>
      <c r="J197" s="2">
        <v>-24.0045</v>
      </c>
    </row>
    <row r="198" spans="8:10">
      <c r="H198" s="18">
        <f t="shared" si="6"/>
        <v>2236.79</v>
      </c>
      <c r="I198" s="4">
        <v>2.2367900000000001</v>
      </c>
      <c r="J198" s="2">
        <v>-22.788799999999998</v>
      </c>
    </row>
    <row r="199" spans="8:10">
      <c r="H199" s="18">
        <f t="shared" si="6"/>
        <v>2250.35</v>
      </c>
      <c r="I199" s="4">
        <v>2.2503500000000001</v>
      </c>
      <c r="J199" s="2">
        <v>-22.383299999999998</v>
      </c>
    </row>
    <row r="200" spans="8:10">
      <c r="H200" s="18">
        <f t="shared" si="6"/>
        <v>2252.21</v>
      </c>
      <c r="I200" s="4">
        <v>2.2522099999999998</v>
      </c>
      <c r="J200" s="2">
        <v>-24.216100000000001</v>
      </c>
    </row>
    <row r="201" spans="8:10">
      <c r="H201" s="18">
        <f t="shared" si="6"/>
        <v>2279.7000000000003</v>
      </c>
      <c r="I201" s="4">
        <v>2.2797000000000001</v>
      </c>
      <c r="J201" s="2">
        <v>-22.614100000000001</v>
      </c>
    </row>
    <row r="202" spans="8:10">
      <c r="H202" s="18">
        <f t="shared" si="6"/>
        <v>2281.71</v>
      </c>
      <c r="I202" s="4">
        <v>2.2817099999999999</v>
      </c>
      <c r="J202" s="2">
        <v>-24.1189</v>
      </c>
    </row>
    <row r="203" spans="8:10">
      <c r="H203" s="18">
        <f t="shared" si="6"/>
        <v>2290.09</v>
      </c>
      <c r="I203" s="4">
        <v>2.2900900000000002</v>
      </c>
      <c r="J203" s="2">
        <v>-23.347000000000001</v>
      </c>
    </row>
    <row r="204" spans="8:10">
      <c r="H204" s="18">
        <f t="shared" si="6"/>
        <v>2303.52</v>
      </c>
      <c r="I204" s="4">
        <v>2.3035199999999998</v>
      </c>
      <c r="J204" s="2">
        <v>-23.230899999999998</v>
      </c>
    </row>
    <row r="205" spans="8:10">
      <c r="H205" s="18">
        <f t="shared" si="6"/>
        <v>2304.1</v>
      </c>
      <c r="I205" s="4">
        <v>2.3041</v>
      </c>
      <c r="J205" s="2">
        <v>-21.938300000000002</v>
      </c>
    </row>
    <row r="206" spans="8:10">
      <c r="H206" s="18">
        <f t="shared" ref="H206:H229" si="7">I206*1000</f>
        <v>2314.42</v>
      </c>
      <c r="I206" s="4">
        <v>2.3144200000000001</v>
      </c>
      <c r="J206" s="2">
        <v>-22.8062</v>
      </c>
    </row>
    <row r="207" spans="8:10">
      <c r="H207" s="18">
        <f t="shared" si="7"/>
        <v>2321.9599999999996</v>
      </c>
      <c r="I207" s="4">
        <v>2.3219599999999998</v>
      </c>
      <c r="J207" s="2">
        <v>-23.9057</v>
      </c>
    </row>
    <row r="208" spans="8:10">
      <c r="H208" s="18">
        <f t="shared" si="7"/>
        <v>2335.96</v>
      </c>
      <c r="I208" s="4">
        <v>2.33596</v>
      </c>
      <c r="J208" s="2">
        <v>-22.535599999999999</v>
      </c>
    </row>
    <row r="209" spans="8:10">
      <c r="H209" s="18">
        <f t="shared" si="7"/>
        <v>2351.12</v>
      </c>
      <c r="I209" s="4">
        <v>2.3511199999999999</v>
      </c>
      <c r="J209" s="2">
        <v>-24.5609</v>
      </c>
    </row>
    <row r="210" spans="8:10">
      <c r="H210" s="18">
        <f t="shared" si="7"/>
        <v>2364.6</v>
      </c>
      <c r="I210" s="4">
        <v>2.3645999999999998</v>
      </c>
      <c r="J210" s="2">
        <v>-24.348400000000002</v>
      </c>
    </row>
    <row r="211" spans="8:10">
      <c r="H211" s="18">
        <f t="shared" si="7"/>
        <v>2389.29</v>
      </c>
      <c r="I211" s="4">
        <v>2.3892899999999999</v>
      </c>
      <c r="J211" s="2">
        <v>-23.035900000000002</v>
      </c>
    </row>
    <row r="212" spans="8:10">
      <c r="H212" s="18">
        <f t="shared" si="7"/>
        <v>2407.64</v>
      </c>
      <c r="I212" s="4">
        <v>2.4076399999999998</v>
      </c>
      <c r="J212" s="2">
        <v>-23.903600000000001</v>
      </c>
    </row>
    <row r="213" spans="8:10">
      <c r="H213" s="18">
        <f t="shared" si="7"/>
        <v>2423.94</v>
      </c>
      <c r="I213" s="4">
        <v>2.42394</v>
      </c>
      <c r="J213" s="2">
        <v>-23.382300000000001</v>
      </c>
    </row>
    <row r="214" spans="8:10">
      <c r="H214" s="18">
        <f t="shared" si="7"/>
        <v>2434.29</v>
      </c>
      <c r="I214" s="4">
        <v>2.4342899999999998</v>
      </c>
      <c r="J214" s="2">
        <v>-24.192399999999999</v>
      </c>
    </row>
    <row r="215" spans="8:10">
      <c r="H215" s="18">
        <f t="shared" si="7"/>
        <v>2445.02</v>
      </c>
      <c r="I215" s="4">
        <v>2.44502</v>
      </c>
      <c r="J215" s="2">
        <v>-24.1342</v>
      </c>
    </row>
    <row r="216" spans="8:10">
      <c r="H216" s="18">
        <f t="shared" si="7"/>
        <v>2450.87</v>
      </c>
      <c r="I216" s="4">
        <v>2.4508700000000001</v>
      </c>
      <c r="J216" s="2">
        <v>-23.034400000000002</v>
      </c>
    </row>
    <row r="217" spans="8:10">
      <c r="H217" s="18">
        <f t="shared" si="7"/>
        <v>2453.42</v>
      </c>
      <c r="I217" s="4">
        <v>2.4534199999999999</v>
      </c>
      <c r="J217" s="2">
        <v>-23.304500000000001</v>
      </c>
    </row>
    <row r="218" spans="8:10">
      <c r="H218" s="18">
        <f t="shared" si="7"/>
        <v>2475.0800000000004</v>
      </c>
      <c r="I218" s="4">
        <v>2.4750800000000002</v>
      </c>
      <c r="J218" s="2">
        <v>-22.783000000000001</v>
      </c>
    </row>
    <row r="219" spans="8:10">
      <c r="H219" s="18">
        <f t="shared" si="7"/>
        <v>2477.37</v>
      </c>
      <c r="I219" s="4">
        <v>2.4773700000000001</v>
      </c>
      <c r="J219" s="2">
        <v>-23.631799999999998</v>
      </c>
    </row>
    <row r="220" spans="8:10">
      <c r="H220" s="18">
        <f t="shared" si="7"/>
        <v>2487.8900000000003</v>
      </c>
      <c r="I220" s="4">
        <v>2.4878900000000002</v>
      </c>
      <c r="J220" s="2">
        <v>-24.056000000000001</v>
      </c>
    </row>
    <row r="221" spans="8:10">
      <c r="H221" s="18">
        <f t="shared" si="7"/>
        <v>2499.19</v>
      </c>
      <c r="I221" s="4">
        <v>2.49919</v>
      </c>
      <c r="J221" s="2">
        <v>-22.7439</v>
      </c>
    </row>
    <row r="222" spans="8:10">
      <c r="H222" s="18">
        <f t="shared" si="7"/>
        <v>2507.0800000000004</v>
      </c>
      <c r="I222" s="4">
        <v>2.5070800000000002</v>
      </c>
      <c r="J222" s="2">
        <v>-23.0716</v>
      </c>
    </row>
    <row r="223" spans="8:10">
      <c r="H223" s="18">
        <f t="shared" si="7"/>
        <v>2509.38</v>
      </c>
      <c r="I223" s="4">
        <v>2.5093800000000002</v>
      </c>
      <c r="J223" s="2">
        <v>-23.901199999999999</v>
      </c>
    </row>
    <row r="224" spans="8:10">
      <c r="H224" s="18">
        <f t="shared" si="7"/>
        <v>2523.59</v>
      </c>
      <c r="I224" s="4">
        <v>2.52359</v>
      </c>
      <c r="J224" s="2">
        <v>-22.068000000000001</v>
      </c>
    </row>
    <row r="225" spans="8:10">
      <c r="H225" s="18">
        <f t="shared" si="7"/>
        <v>2541.52</v>
      </c>
      <c r="I225" s="4">
        <v>2.5415199999999998</v>
      </c>
      <c r="J225" s="2">
        <v>-23.8811</v>
      </c>
    </row>
    <row r="226" spans="8:10">
      <c r="H226" s="18">
        <f t="shared" si="7"/>
        <v>2552.3799999999997</v>
      </c>
      <c r="I226" s="4">
        <v>2.5523799999999999</v>
      </c>
      <c r="J226" s="2">
        <v>-23.5336</v>
      </c>
    </row>
    <row r="227" spans="8:10">
      <c r="H227" s="18">
        <f t="shared" si="7"/>
        <v>2576.21</v>
      </c>
      <c r="I227" s="4">
        <v>2.5762100000000001</v>
      </c>
      <c r="J227" s="2">
        <v>-24.1311</v>
      </c>
    </row>
    <row r="228" spans="8:10">
      <c r="H228" s="18">
        <f t="shared" si="7"/>
        <v>2577.2800000000002</v>
      </c>
      <c r="I228" s="4">
        <v>2.57728</v>
      </c>
      <c r="J228" s="2">
        <v>-21.738800000000001</v>
      </c>
    </row>
    <row r="229" spans="8:10">
      <c r="H229" s="18">
        <f t="shared" si="7"/>
        <v>2595.4</v>
      </c>
      <c r="I229" s="4">
        <v>2.5954000000000002</v>
      </c>
      <c r="J229" s="2">
        <v>-23.146699999999999</v>
      </c>
    </row>
  </sheetData>
  <phoneticPr fontId="7" type="noConversion"/>
  <pageMargins left="0.7" right="0.7" top="0.75" bottom="0.75" header="0.3" footer="0.3"/>
  <drawing r:id="rId1"/>
</worksheet>
</file>

<file path=xl/worksheets/sheet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61"/>
  <sheetViews>
    <sheetView workbookViewId="0">
      <selection activeCell="C2" sqref="C2:C6"/>
    </sheetView>
  </sheetViews>
  <sheetFormatPr baseColWidth="10" defaultRowHeight="15"/>
  <cols>
    <col min="1" max="1" width="9" style="10" customWidth="1"/>
    <col min="2" max="6" width="9" style="2" customWidth="1"/>
    <col min="7" max="7" width="9" style="4" customWidth="1"/>
    <col min="8" max="256" width="8.83203125" customWidth="1"/>
  </cols>
  <sheetData>
    <row r="1" spans="1:10" ht="29">
      <c r="A1" s="10" t="s">
        <v>12</v>
      </c>
      <c r="B1" s="2" t="s">
        <v>5</v>
      </c>
      <c r="C1" s="2" t="s">
        <v>3</v>
      </c>
      <c r="D1" s="2" t="s">
        <v>6</v>
      </c>
      <c r="E1" s="6">
        <v>-1</v>
      </c>
      <c r="F1" s="9" t="s">
        <v>11</v>
      </c>
      <c r="G1" s="13" t="s">
        <v>30</v>
      </c>
      <c r="H1" s="13" t="s">
        <v>31</v>
      </c>
      <c r="I1" s="14" t="s">
        <v>32</v>
      </c>
    </row>
    <row r="2" spans="1:10">
      <c r="A2" s="11" t="s">
        <v>13</v>
      </c>
      <c r="B2" s="12">
        <v>1.05277</v>
      </c>
      <c r="C2" s="12">
        <v>-7.56996</v>
      </c>
      <c r="D2" s="12">
        <v>-22.971699999999998</v>
      </c>
      <c r="E2" s="12">
        <f>D2-1</f>
        <v>-23.971699999999998</v>
      </c>
      <c r="F2" s="12">
        <f>C2-E2</f>
        <v>16.401739999999997</v>
      </c>
      <c r="G2" s="15">
        <f>(C2+1000)/(9.46/1000+1)-1000</f>
        <v>-16.870366334475875</v>
      </c>
      <c r="H2" s="16">
        <f>(G2-1.0044*E2-4.4)/(-6.5-G2)</f>
        <v>0.27065670150850846</v>
      </c>
      <c r="I2" s="17">
        <f>3000000000*F2^-5.421</f>
        <v>778.40027575566467</v>
      </c>
      <c r="J2">
        <f>H2*I2</f>
        <v>210.67925108934159</v>
      </c>
    </row>
    <row r="3" spans="1:10">
      <c r="A3" s="11" t="s">
        <v>14</v>
      </c>
      <c r="B3" s="12">
        <v>1.0803400000000001</v>
      </c>
      <c r="C3" s="12">
        <v>-6.6478700000000002</v>
      </c>
      <c r="D3" s="12">
        <v>-23.009699999999999</v>
      </c>
      <c r="E3" s="12">
        <f t="shared" ref="E3:E27" si="0">D3-1</f>
        <v>-24.009699999999999</v>
      </c>
      <c r="F3" s="12">
        <f t="shared" ref="F3:F27" si="1">C3-E3</f>
        <v>17.361829999999998</v>
      </c>
      <c r="G3" s="15">
        <f t="shared" ref="G3:G27" si="2">(C3+1000)/(9.46/1000+1)-1000</f>
        <v>-15.95691755988355</v>
      </c>
      <c r="H3" s="16">
        <f t="shared" ref="H3:H27" si="3">(G3-1.0044*E3-4.4)/(-6.5-G3)</f>
        <v>0.39742602135602501</v>
      </c>
      <c r="I3" s="17">
        <f t="shared" ref="I3:I27" si="4">3000000000*F3^-5.421</f>
        <v>571.83936964530631</v>
      </c>
      <c r="J3">
        <f t="shared" ref="J3:J41" si="5">H3*I3</f>
        <v>227.26384553287139</v>
      </c>
    </row>
    <row r="4" spans="1:10">
      <c r="A4" s="11" t="s">
        <v>15</v>
      </c>
      <c r="B4" s="12">
        <v>1.1176900000000001</v>
      </c>
      <c r="C4" s="12">
        <v>-6.7725799999999996</v>
      </c>
      <c r="D4" s="12">
        <v>-22.082699999999999</v>
      </c>
      <c r="E4" s="12">
        <f t="shared" si="0"/>
        <v>-23.082699999999999</v>
      </c>
      <c r="F4" s="12">
        <f t="shared" si="1"/>
        <v>16.310119999999998</v>
      </c>
      <c r="G4" s="15">
        <f t="shared" si="2"/>
        <v>-16.080458859192049</v>
      </c>
      <c r="H4" s="16">
        <f t="shared" si="3"/>
        <v>0.28222082684628014</v>
      </c>
      <c r="I4" s="17">
        <f t="shared" si="4"/>
        <v>802.40016674929234</v>
      </c>
      <c r="J4">
        <f t="shared" si="5"/>
        <v>226.45403852157835</v>
      </c>
    </row>
    <row r="5" spans="1:10">
      <c r="A5" s="11" t="s">
        <v>16</v>
      </c>
      <c r="B5" s="12">
        <v>1.1752499999999999</v>
      </c>
      <c r="C5" s="12">
        <v>-8.2408800000000006</v>
      </c>
      <c r="D5" s="12">
        <v>-24.820799999999998</v>
      </c>
      <c r="E5" s="12">
        <f t="shared" si="0"/>
        <v>-25.820799999999998</v>
      </c>
      <c r="F5" s="12">
        <f t="shared" si="1"/>
        <v>17.579919999999998</v>
      </c>
      <c r="G5" s="15">
        <f t="shared" si="2"/>
        <v>-17.534998910308445</v>
      </c>
      <c r="H5" s="16">
        <f t="shared" si="3"/>
        <v>0.36242981464687452</v>
      </c>
      <c r="I5" s="17">
        <f t="shared" si="4"/>
        <v>534.42242093633126</v>
      </c>
      <c r="J5">
        <f t="shared" si="5"/>
        <v>193.6906189630885</v>
      </c>
    </row>
    <row r="6" spans="1:10">
      <c r="A6" s="11"/>
      <c r="B6" s="12">
        <v>1.19861</v>
      </c>
      <c r="C6" s="12">
        <v>-6.0375699999999997</v>
      </c>
      <c r="D6" s="12">
        <v>-23.392600000000002</v>
      </c>
      <c r="E6" s="12">
        <f t="shared" si="0"/>
        <v>-24.392600000000002</v>
      </c>
      <c r="F6" s="12">
        <f t="shared" si="1"/>
        <v>18.355030000000003</v>
      </c>
      <c r="G6" s="15">
        <f t="shared" si="2"/>
        <v>-15.352336892992298</v>
      </c>
      <c r="H6" s="16">
        <f t="shared" si="3"/>
        <v>0.53630929373756642</v>
      </c>
      <c r="I6" s="17">
        <f t="shared" si="4"/>
        <v>422.96542219546018</v>
      </c>
      <c r="J6">
        <f t="shared" si="5"/>
        <v>226.84028685305884</v>
      </c>
    </row>
    <row r="7" spans="1:10">
      <c r="A7" s="11"/>
      <c r="B7" s="12">
        <v>1.21045</v>
      </c>
      <c r="C7" s="12">
        <v>-7.7718600000000002</v>
      </c>
      <c r="D7" s="12">
        <v>-22.524100000000001</v>
      </c>
      <c r="E7" s="12">
        <f t="shared" si="0"/>
        <v>-23.524100000000001</v>
      </c>
      <c r="F7" s="12">
        <f t="shared" si="1"/>
        <v>15.75224</v>
      </c>
      <c r="G7" s="15">
        <f t="shared" si="2"/>
        <v>-17.070374259505002</v>
      </c>
      <c r="H7" s="16">
        <f t="shared" si="3"/>
        <v>0.20408281935289002</v>
      </c>
      <c r="I7" s="17">
        <f t="shared" si="4"/>
        <v>969.010621984311</v>
      </c>
      <c r="J7">
        <f t="shared" si="5"/>
        <v>197.75841971745575</v>
      </c>
    </row>
    <row r="8" spans="1:10">
      <c r="A8" s="11" t="s">
        <v>17</v>
      </c>
      <c r="B8" s="12">
        <v>1.26596</v>
      </c>
      <c r="C8" s="12">
        <v>-5.52142</v>
      </c>
      <c r="D8" s="12">
        <v>-21.963100000000001</v>
      </c>
      <c r="E8" s="12">
        <f t="shared" si="0"/>
        <v>-22.963100000000001</v>
      </c>
      <c r="F8" s="12">
        <f t="shared" si="1"/>
        <v>17.441680000000002</v>
      </c>
      <c r="G8" s="15">
        <f t="shared" si="2"/>
        <v>-14.841023913775757</v>
      </c>
      <c r="H8" s="16">
        <f t="shared" si="3"/>
        <v>0.45835064924224878</v>
      </c>
      <c r="I8" s="17">
        <f t="shared" si="4"/>
        <v>557.79035826771155</v>
      </c>
      <c r="J8">
        <f t="shared" si="5"/>
        <v>255.66357285307214</v>
      </c>
    </row>
    <row r="9" spans="1:10">
      <c r="A9" s="11"/>
      <c r="B9" s="12">
        <v>1.2755799999999999</v>
      </c>
      <c r="C9" s="12">
        <v>-6.7401</v>
      </c>
      <c r="D9" s="12">
        <v>-22.696200000000001</v>
      </c>
      <c r="E9" s="12">
        <f t="shared" si="0"/>
        <v>-23.696200000000001</v>
      </c>
      <c r="F9" s="12">
        <f t="shared" si="1"/>
        <v>16.956099999999999</v>
      </c>
      <c r="G9" s="15">
        <f t="shared" si="2"/>
        <v>-16.048283240544492</v>
      </c>
      <c r="H9" s="16">
        <f t="shared" si="3"/>
        <v>0.35107672814116764</v>
      </c>
      <c r="I9" s="17">
        <f t="shared" si="4"/>
        <v>650.04762475120913</v>
      </c>
      <c r="J9">
        <f t="shared" si="5"/>
        <v>228.21659323359199</v>
      </c>
    </row>
    <row r="10" spans="1:10">
      <c r="A10" s="11" t="s">
        <v>18</v>
      </c>
      <c r="B10" s="12">
        <v>1.30752</v>
      </c>
      <c r="C10" s="12">
        <v>-6.9273499999999997</v>
      </c>
      <c r="D10" s="12">
        <v>-21.8079</v>
      </c>
      <c r="E10" s="12">
        <f t="shared" si="0"/>
        <v>-22.8079</v>
      </c>
      <c r="F10" s="12">
        <f t="shared" si="1"/>
        <v>15.880549999999999</v>
      </c>
      <c r="G10" s="15">
        <f t="shared" si="2"/>
        <v>-16.233778455808078</v>
      </c>
      <c r="H10" s="16">
        <f t="shared" si="3"/>
        <v>0.23366838628166592</v>
      </c>
      <c r="I10" s="17">
        <f t="shared" si="4"/>
        <v>927.31901450663463</v>
      </c>
      <c r="J10">
        <f t="shared" si="5"/>
        <v>216.68513768807006</v>
      </c>
    </row>
    <row r="11" spans="1:10">
      <c r="A11" s="11" t="s">
        <v>19</v>
      </c>
      <c r="B11" s="12">
        <v>1.34948</v>
      </c>
      <c r="C11" s="12">
        <v>-7.8801399999999999</v>
      </c>
      <c r="D11" s="12">
        <v>-23.658999999999999</v>
      </c>
      <c r="E11" s="12">
        <f t="shared" si="0"/>
        <v>-24.658999999999999</v>
      </c>
      <c r="F11" s="12">
        <f t="shared" si="1"/>
        <v>16.778859999999998</v>
      </c>
      <c r="G11" s="15">
        <f t="shared" si="2"/>
        <v>-17.177639530045781</v>
      </c>
      <c r="H11" s="16">
        <f t="shared" si="3"/>
        <v>0.29874206382209079</v>
      </c>
      <c r="I11" s="17">
        <f t="shared" si="4"/>
        <v>688.15142129382866</v>
      </c>
      <c r="J11">
        <f t="shared" si="5"/>
        <v>205.57977581942345</v>
      </c>
    </row>
    <row r="12" spans="1:10">
      <c r="A12" s="11"/>
      <c r="B12" s="12">
        <v>1.36385</v>
      </c>
      <c r="C12" s="12">
        <v>-6.7706600000000003</v>
      </c>
      <c r="D12" s="12">
        <v>-22.732700000000001</v>
      </c>
      <c r="E12" s="12">
        <f t="shared" si="0"/>
        <v>-23.732700000000001</v>
      </c>
      <c r="F12" s="12">
        <f t="shared" si="1"/>
        <v>16.962040000000002</v>
      </c>
      <c r="G12" s="15">
        <f t="shared" si="2"/>
        <v>-16.078556852178394</v>
      </c>
      <c r="H12" s="16">
        <f t="shared" si="3"/>
        <v>0.35063392947944827</v>
      </c>
      <c r="I12" s="17">
        <f t="shared" si="4"/>
        <v>648.81452911640258</v>
      </c>
      <c r="J12">
        <f t="shared" si="5"/>
        <v>227.49638784744215</v>
      </c>
    </row>
    <row r="13" spans="1:10">
      <c r="A13" s="11" t="s">
        <v>20</v>
      </c>
      <c r="B13" s="12">
        <v>1.4090499999999999</v>
      </c>
      <c r="C13" s="12">
        <v>-7.0827999999999998</v>
      </c>
      <c r="D13" s="12">
        <v>-24.1206</v>
      </c>
      <c r="E13" s="12">
        <f t="shared" si="0"/>
        <v>-25.1206</v>
      </c>
      <c r="F13" s="12">
        <f t="shared" si="1"/>
        <v>18.037800000000001</v>
      </c>
      <c r="G13" s="15">
        <f t="shared" si="2"/>
        <v>-16.387771679908155</v>
      </c>
      <c r="H13" s="16">
        <f t="shared" si="3"/>
        <v>0.44937920331642583</v>
      </c>
      <c r="I13" s="17">
        <f t="shared" si="4"/>
        <v>464.88992756691437</v>
      </c>
      <c r="J13">
        <f t="shared" si="5"/>
        <v>208.9118652798509</v>
      </c>
    </row>
    <row r="14" spans="1:10">
      <c r="A14" s="11" t="s">
        <v>21</v>
      </c>
      <c r="B14" s="12">
        <v>1.48</v>
      </c>
      <c r="C14" s="12">
        <v>-8.53538</v>
      </c>
      <c r="D14" s="12">
        <v>-23.8874</v>
      </c>
      <c r="E14" s="12">
        <f t="shared" si="0"/>
        <v>-24.8874</v>
      </c>
      <c r="F14" s="12">
        <f t="shared" si="1"/>
        <v>16.35202</v>
      </c>
      <c r="G14" s="15">
        <f t="shared" si="2"/>
        <v>-17.826739048600302</v>
      </c>
      <c r="H14" s="16">
        <f t="shared" si="3"/>
        <v>0.24456867060445051</v>
      </c>
      <c r="I14" s="17">
        <f t="shared" si="4"/>
        <v>791.31726826334</v>
      </c>
      <c r="J14">
        <f t="shared" si="5"/>
        <v>193.53141232551039</v>
      </c>
    </row>
    <row r="15" spans="1:10">
      <c r="A15" s="11" t="s">
        <v>22</v>
      </c>
      <c r="B15" s="12">
        <v>1.53447</v>
      </c>
      <c r="C15" s="12">
        <v>-7.4568199999999996</v>
      </c>
      <c r="D15" s="12">
        <v>-23.1724</v>
      </c>
      <c r="E15" s="12">
        <f t="shared" si="0"/>
        <v>-24.1724</v>
      </c>
      <c r="F15" s="12">
        <f t="shared" si="1"/>
        <v>16.715579999999999</v>
      </c>
      <c r="G15" s="15">
        <f t="shared" si="2"/>
        <v>-16.758286608681942</v>
      </c>
      <c r="H15" s="16">
        <f t="shared" si="3"/>
        <v>0.30419036534591404</v>
      </c>
      <c r="I15" s="17">
        <f t="shared" si="4"/>
        <v>702.39251037402539</v>
      </c>
      <c r="J15">
        <f t="shared" si="5"/>
        <v>213.66103434690851</v>
      </c>
    </row>
    <row r="16" spans="1:10">
      <c r="A16" s="11" t="s">
        <v>23</v>
      </c>
      <c r="B16" s="12">
        <v>1.5745499999999999</v>
      </c>
      <c r="C16" s="12">
        <v>-7.5190099999999997</v>
      </c>
      <c r="D16" s="12">
        <v>-23.866</v>
      </c>
      <c r="E16" s="12">
        <f t="shared" si="0"/>
        <v>-24.866</v>
      </c>
      <c r="F16" s="12">
        <f t="shared" si="1"/>
        <v>17.346989999999998</v>
      </c>
      <c r="G16" s="15">
        <f t="shared" si="2"/>
        <v>-16.819893804608455</v>
      </c>
      <c r="H16" s="16">
        <f t="shared" si="3"/>
        <v>0.36391039156957972</v>
      </c>
      <c r="I16" s="17">
        <f t="shared" si="4"/>
        <v>574.49632663473392</v>
      </c>
      <c r="J16">
        <f t="shared" si="5"/>
        <v>209.0651831809312</v>
      </c>
    </row>
    <row r="17" spans="1:10">
      <c r="A17" s="11" t="s">
        <v>24</v>
      </c>
      <c r="B17" s="12">
        <v>1.6056999999999999</v>
      </c>
      <c r="C17" s="12">
        <v>-8.5968900000000001</v>
      </c>
      <c r="D17" s="12">
        <v>-24.250900000000001</v>
      </c>
      <c r="E17" s="12">
        <f t="shared" si="0"/>
        <v>-25.250900000000001</v>
      </c>
      <c r="F17" s="12">
        <f t="shared" si="1"/>
        <v>16.65401</v>
      </c>
      <c r="G17" s="15">
        <f t="shared" si="2"/>
        <v>-17.887672617042881</v>
      </c>
      <c r="H17" s="16">
        <f t="shared" si="3"/>
        <v>0.26997012000117121</v>
      </c>
      <c r="I17" s="17">
        <f t="shared" si="4"/>
        <v>716.58502070352483</v>
      </c>
      <c r="J17">
        <f t="shared" si="5"/>
        <v>193.45654403037236</v>
      </c>
    </row>
    <row r="18" spans="1:10">
      <c r="A18" s="11"/>
      <c r="B18" s="12">
        <v>1.6305700000000001</v>
      </c>
      <c r="C18" s="12">
        <v>-7.7060700000000004</v>
      </c>
      <c r="D18" s="12">
        <v>-24.018899999999999</v>
      </c>
      <c r="E18" s="12">
        <f t="shared" si="0"/>
        <v>-25.018899999999999</v>
      </c>
      <c r="F18" s="12">
        <f t="shared" si="1"/>
        <v>17.312829999999998</v>
      </c>
      <c r="G18" s="15">
        <f t="shared" si="2"/>
        <v>-17.005200800427929</v>
      </c>
      <c r="H18" s="16">
        <f t="shared" si="3"/>
        <v>0.3544703647568907</v>
      </c>
      <c r="I18" s="17">
        <f t="shared" si="4"/>
        <v>580.66811158693258</v>
      </c>
      <c r="J18">
        <f t="shared" si="5"/>
        <v>205.8296373169149</v>
      </c>
    </row>
    <row r="19" spans="1:10">
      <c r="A19" s="11" t="s">
        <v>25</v>
      </c>
      <c r="B19" s="12">
        <v>1.80644</v>
      </c>
      <c r="C19" s="12">
        <v>-8.5172000000000008</v>
      </c>
      <c r="D19" s="12">
        <v>-23.8217</v>
      </c>
      <c r="E19" s="12">
        <f t="shared" si="0"/>
        <v>-24.8217</v>
      </c>
      <c r="F19" s="12">
        <f t="shared" si="1"/>
        <v>16.304499999999997</v>
      </c>
      <c r="G19" s="15">
        <f t="shared" si="2"/>
        <v>-17.808729419689712</v>
      </c>
      <c r="H19" s="16">
        <f t="shared" si="3"/>
        <v>0.24071546495494614</v>
      </c>
      <c r="I19" s="17">
        <f t="shared" si="4"/>
        <v>803.90064656339848</v>
      </c>
      <c r="J19">
        <f t="shared" si="5"/>
        <v>193.5113179150903</v>
      </c>
    </row>
    <row r="20" spans="1:10">
      <c r="A20" s="11" t="s">
        <v>26</v>
      </c>
      <c r="B20" s="12">
        <v>1.8911500000000001</v>
      </c>
      <c r="C20" s="12">
        <v>-9.5321599999999993</v>
      </c>
      <c r="D20" s="12">
        <v>-24.861599999999999</v>
      </c>
      <c r="E20" s="12">
        <f t="shared" si="0"/>
        <v>-25.861599999999999</v>
      </c>
      <c r="F20" s="12">
        <f t="shared" si="1"/>
        <v>16.329439999999998</v>
      </c>
      <c r="G20" s="15">
        <f t="shared" si="2"/>
        <v>-18.81417787728094</v>
      </c>
      <c r="H20" s="16">
        <f t="shared" si="3"/>
        <v>0.22423041068891506</v>
      </c>
      <c r="I20" s="17">
        <f t="shared" si="4"/>
        <v>797.26717610440335</v>
      </c>
      <c r="J20">
        <f t="shared" si="5"/>
        <v>178.77154632668191</v>
      </c>
    </row>
    <row r="21" spans="1:10">
      <c r="A21" s="11" t="s">
        <v>27</v>
      </c>
      <c r="B21" s="12">
        <v>2.0886999999999998</v>
      </c>
      <c r="C21" s="12">
        <v>-7.0306199999999999</v>
      </c>
      <c r="D21" s="12">
        <v>-23.7377</v>
      </c>
      <c r="E21" s="12">
        <f t="shared" si="0"/>
        <v>-24.7377</v>
      </c>
      <c r="F21" s="12">
        <f t="shared" si="1"/>
        <v>17.707080000000001</v>
      </c>
      <c r="G21" s="15">
        <f t="shared" si="2"/>
        <v>-16.336080676797565</v>
      </c>
      <c r="H21" s="16">
        <f t="shared" si="3"/>
        <v>0.41789665398929227</v>
      </c>
      <c r="I21" s="17">
        <f t="shared" si="4"/>
        <v>513.94499597997981</v>
      </c>
      <c r="J21">
        <f t="shared" si="5"/>
        <v>214.77589415457382</v>
      </c>
    </row>
    <row r="22" spans="1:10">
      <c r="A22" s="11"/>
      <c r="B22" s="12">
        <v>2.1493899999999999</v>
      </c>
      <c r="C22" s="12">
        <v>-7.9832700000000001</v>
      </c>
      <c r="D22" s="12">
        <v>-22.906600000000001</v>
      </c>
      <c r="E22" s="12">
        <f t="shared" si="0"/>
        <v>-23.906600000000001</v>
      </c>
      <c r="F22" s="12">
        <f t="shared" si="1"/>
        <v>15.92333</v>
      </c>
      <c r="G22" s="15">
        <f t="shared" si="2"/>
        <v>-17.279803063023792</v>
      </c>
      <c r="H22" s="16">
        <f t="shared" si="3"/>
        <v>0.21632918183591321</v>
      </c>
      <c r="I22" s="17">
        <f t="shared" si="4"/>
        <v>913.89332734198945</v>
      </c>
      <c r="J22">
        <f t="shared" si="5"/>
        <v>197.701795789193</v>
      </c>
    </row>
    <row r="23" spans="1:10">
      <c r="A23" s="11" t="s">
        <v>29</v>
      </c>
      <c r="B23" s="12">
        <v>2.2862900000000002</v>
      </c>
      <c r="C23" s="12">
        <v>-7.4821999999999997</v>
      </c>
      <c r="D23" s="12">
        <v>-23.347000000000001</v>
      </c>
      <c r="E23" s="12">
        <f t="shared" si="0"/>
        <v>-24.347000000000001</v>
      </c>
      <c r="F23" s="12">
        <f t="shared" si="1"/>
        <v>16.864800000000002</v>
      </c>
      <c r="G23" s="15">
        <f t="shared" si="2"/>
        <v>-16.783428763893653</v>
      </c>
      <c r="H23" s="16">
        <f t="shared" si="3"/>
        <v>0.31805520427098782</v>
      </c>
      <c r="I23" s="17">
        <f t="shared" si="4"/>
        <v>669.35451206097582</v>
      </c>
      <c r="J23">
        <f t="shared" si="5"/>
        <v>212.89168606326103</v>
      </c>
    </row>
    <row r="24" spans="1:10">
      <c r="A24" s="11"/>
      <c r="B24" s="12">
        <v>2.30369</v>
      </c>
      <c r="C24" s="12">
        <v>-5.9664400000000004</v>
      </c>
      <c r="D24" s="12">
        <v>-23.230899999999998</v>
      </c>
      <c r="E24" s="12">
        <f t="shared" si="0"/>
        <v>-24.230899999999998</v>
      </c>
      <c r="F24" s="12">
        <f t="shared" si="1"/>
        <v>18.26446</v>
      </c>
      <c r="G24" s="15">
        <f t="shared" si="2"/>
        <v>-15.281873476908459</v>
      </c>
      <c r="H24" s="16">
        <f t="shared" si="3"/>
        <v>0.5301422863052333</v>
      </c>
      <c r="I24" s="17">
        <f t="shared" si="4"/>
        <v>434.46079619962967</v>
      </c>
      <c r="J24">
        <f t="shared" si="5"/>
        <v>230.3260398072637</v>
      </c>
    </row>
    <row r="25" spans="1:10">
      <c r="A25" s="11"/>
      <c r="B25" s="12">
        <v>2.3137099999999999</v>
      </c>
      <c r="C25" s="12">
        <v>-6.7319899999999997</v>
      </c>
      <c r="D25" s="12">
        <v>-22.8062</v>
      </c>
      <c r="E25" s="12">
        <f t="shared" si="0"/>
        <v>-23.8062</v>
      </c>
      <c r="F25" s="12">
        <f t="shared" si="1"/>
        <v>17.074210000000001</v>
      </c>
      <c r="G25" s="15">
        <f t="shared" si="2"/>
        <v>-16.040249242169125</v>
      </c>
      <c r="H25" s="16">
        <f t="shared" si="3"/>
        <v>0.36379532124694841</v>
      </c>
      <c r="I25" s="17">
        <f t="shared" si="4"/>
        <v>626.04097797201712</v>
      </c>
      <c r="J25">
        <f t="shared" si="5"/>
        <v>227.75077869508371</v>
      </c>
    </row>
    <row r="26" spans="1:10">
      <c r="A26" s="11"/>
      <c r="B26" s="12">
        <v>2.3505199999999999</v>
      </c>
      <c r="C26" s="12">
        <v>-7.4660700000000002</v>
      </c>
      <c r="D26" s="12">
        <v>-24.5609</v>
      </c>
      <c r="E26" s="12">
        <f t="shared" si="0"/>
        <v>-25.5609</v>
      </c>
      <c r="F26" s="12">
        <f t="shared" si="1"/>
        <v>18.094830000000002</v>
      </c>
      <c r="G26" s="15">
        <f t="shared" si="2"/>
        <v>-16.767449923721529</v>
      </c>
      <c r="H26" s="16">
        <f t="shared" si="3"/>
        <v>0.43885463963823856</v>
      </c>
      <c r="I26" s="17">
        <f t="shared" si="4"/>
        <v>457.0021788970883</v>
      </c>
      <c r="J26">
        <f t="shared" si="5"/>
        <v>200.55752653377152</v>
      </c>
    </row>
    <row r="27" spans="1:10">
      <c r="A27" s="11" t="s">
        <v>28</v>
      </c>
      <c r="B27" s="12">
        <v>2.5089199999999998</v>
      </c>
      <c r="C27" s="12">
        <v>-6.8554599999999999</v>
      </c>
      <c r="D27" s="12">
        <v>-23.0716</v>
      </c>
      <c r="E27" s="12">
        <f t="shared" si="0"/>
        <v>-24.0716</v>
      </c>
      <c r="F27" s="12">
        <f t="shared" si="1"/>
        <v>17.216139999999999</v>
      </c>
      <c r="G27" s="15">
        <f t="shared" si="2"/>
        <v>-16.162562161948017</v>
      </c>
      <c r="H27" s="16">
        <f t="shared" si="3"/>
        <v>0.37411949516743814</v>
      </c>
      <c r="I27" s="17">
        <f t="shared" si="4"/>
        <v>598.56781450976587</v>
      </c>
      <c r="J27">
        <f t="shared" si="5"/>
        <v>223.93588858787035</v>
      </c>
    </row>
    <row r="28" spans="1:10">
      <c r="B28" s="2">
        <v>1.1359600000000001</v>
      </c>
      <c r="C28" s="2">
        <v>-7.2880599999999998</v>
      </c>
      <c r="D28" s="2">
        <v>-23.8185</v>
      </c>
      <c r="E28" s="2">
        <f>D28-1</f>
        <v>-24.8185</v>
      </c>
      <c r="F28" s="2">
        <f>C28-E28</f>
        <v>17.530439999999999</v>
      </c>
      <c r="G28" s="15">
        <f t="shared" ref="G28:G41" si="6">(C28+1000)/(9.46/1000+1)-1000</f>
        <v>-16.591108117211206</v>
      </c>
      <c r="H28" s="16">
        <f t="shared" ref="H28:H41" si="7">(G28-1.0044*E28-4.4)/(-6.5-G28)</f>
        <v>0.39010515367233189</v>
      </c>
      <c r="I28" s="17">
        <f xml:space="preserve"> 1000000000*F28^-5.215</f>
        <v>326.30254496914336</v>
      </c>
      <c r="J28">
        <f>H28*I28</f>
        <v>127.29230444886066</v>
      </c>
    </row>
    <row r="29" spans="1:10">
      <c r="B29" s="2">
        <v>1.2436100000000001</v>
      </c>
      <c r="C29" s="2">
        <v>-6.5841000000000003</v>
      </c>
      <c r="D29" s="2">
        <v>-22.561900000000001</v>
      </c>
      <c r="E29" s="2">
        <f t="shared" ref="E29:E41" si="8">D29-1</f>
        <v>-23.561900000000001</v>
      </c>
      <c r="F29" s="2">
        <f t="shared" ref="F29:F41" si="9">C29-E29</f>
        <v>16.977800000000002</v>
      </c>
      <c r="G29" s="15">
        <f t="shared" si="6"/>
        <v>-15.893745170685406</v>
      </c>
      <c r="H29" s="16">
        <f t="shared" si="7"/>
        <v>0.35894386403379192</v>
      </c>
      <c r="I29" s="17">
        <f t="shared" ref="I29:I41" si="10" xml:space="preserve"> 1000000000*F29^-5.215</f>
        <v>385.62788449496912</v>
      </c>
      <c r="J29">
        <f t="shared" si="5"/>
        <v>138.41876293980101</v>
      </c>
    </row>
    <row r="30" spans="1:10">
      <c r="B30" s="2">
        <v>1.32938</v>
      </c>
      <c r="C30" s="2">
        <v>-6.4115500000000001</v>
      </c>
      <c r="D30" s="2">
        <v>-22.4056</v>
      </c>
      <c r="E30" s="2">
        <f t="shared" si="8"/>
        <v>-23.4056</v>
      </c>
      <c r="F30" s="2">
        <f t="shared" si="9"/>
        <v>16.994050000000001</v>
      </c>
      <c r="G30" s="15">
        <f t="shared" si="6"/>
        <v>-15.722812196619998</v>
      </c>
      <c r="H30" s="16">
        <f t="shared" si="7"/>
        <v>0.36710846661507734</v>
      </c>
      <c r="I30" s="17">
        <f t="shared" si="10"/>
        <v>383.70875610844342</v>
      </c>
      <c r="J30">
        <f t="shared" si="5"/>
        <v>140.86273308174935</v>
      </c>
    </row>
    <row r="31" spans="1:10">
      <c r="B31" s="2">
        <v>1.3813599999999999</v>
      </c>
      <c r="C31" s="2">
        <v>-8.1298999999999992</v>
      </c>
      <c r="D31" s="2">
        <v>-23.754799999999999</v>
      </c>
      <c r="E31" s="2">
        <f t="shared" si="8"/>
        <v>-24.754799999999999</v>
      </c>
      <c r="F31" s="2">
        <f t="shared" si="9"/>
        <v>16.6249</v>
      </c>
      <c r="G31" s="15">
        <f t="shared" si="6"/>
        <v>-17.425058942404917</v>
      </c>
      <c r="H31" s="16">
        <f t="shared" si="7"/>
        <v>0.27813691382484973</v>
      </c>
      <c r="I31" s="17">
        <f t="shared" si="10"/>
        <v>430.27052623449669</v>
      </c>
      <c r="J31">
        <f t="shared" si="5"/>
        <v>119.67411627665695</v>
      </c>
    </row>
    <row r="32" spans="1:10">
      <c r="B32" s="2">
        <v>1.5504</v>
      </c>
      <c r="C32" s="2">
        <v>-7.5973300000000004</v>
      </c>
      <c r="D32" s="2">
        <v>-22.805299999999999</v>
      </c>
      <c r="E32" s="2">
        <f t="shared" si="8"/>
        <v>-23.805299999999999</v>
      </c>
      <c r="F32" s="2">
        <f t="shared" si="9"/>
        <v>16.20797</v>
      </c>
      <c r="G32" s="15">
        <f t="shared" si="6"/>
        <v>-16.897479840706978</v>
      </c>
      <c r="H32" s="16">
        <f t="shared" si="7"/>
        <v>0.2512689150946581</v>
      </c>
      <c r="I32" s="17">
        <f t="shared" si="10"/>
        <v>491.20776667883979</v>
      </c>
      <c r="J32">
        <f t="shared" si="5"/>
        <v>123.42524261946203</v>
      </c>
    </row>
    <row r="33" spans="2:10">
      <c r="B33" s="2">
        <v>1.64093</v>
      </c>
      <c r="C33" s="2">
        <v>-8.0966199999999997</v>
      </c>
      <c r="D33" s="2">
        <v>-22.996200000000002</v>
      </c>
      <c r="E33" s="2">
        <f t="shared" si="8"/>
        <v>-23.996200000000002</v>
      </c>
      <c r="F33" s="2">
        <f t="shared" si="9"/>
        <v>15.899580000000002</v>
      </c>
      <c r="G33" s="15">
        <f t="shared" si="6"/>
        <v>-17.392090820834937</v>
      </c>
      <c r="H33" s="16">
        <f t="shared" si="7"/>
        <v>0.21205225857527427</v>
      </c>
      <c r="I33" s="17">
        <f t="shared" si="10"/>
        <v>542.96748555485124</v>
      </c>
      <c r="J33">
        <f t="shared" si="5"/>
        <v>115.1374816448438</v>
      </c>
    </row>
    <row r="34" spans="2:10">
      <c r="B34" s="2">
        <v>1.67395</v>
      </c>
      <c r="C34" s="2">
        <v>-7.0651099999999998</v>
      </c>
      <c r="D34" s="2">
        <v>-23.940799999999999</v>
      </c>
      <c r="E34" s="2">
        <f t="shared" si="8"/>
        <v>-24.940799999999999</v>
      </c>
      <c r="F34" s="2">
        <f t="shared" si="9"/>
        <v>17.875689999999999</v>
      </c>
      <c r="G34" s="15">
        <f t="shared" si="6"/>
        <v>-16.3702474590375</v>
      </c>
      <c r="H34" s="16">
        <f t="shared" si="7"/>
        <v>0.43365600292455991</v>
      </c>
      <c r="I34" s="17">
        <f t="shared" si="10"/>
        <v>294.74701955476911</v>
      </c>
      <c r="J34">
        <f t="shared" si="5"/>
        <v>127.81881437404827</v>
      </c>
    </row>
    <row r="35" spans="2:10">
      <c r="B35" s="2">
        <v>1.746</v>
      </c>
      <c r="C35" s="2">
        <v>-7.2832999999999997</v>
      </c>
      <c r="D35" s="2">
        <v>-24.015899999999998</v>
      </c>
      <c r="E35" s="2">
        <f t="shared" si="8"/>
        <v>-25.015899999999998</v>
      </c>
      <c r="F35" s="2">
        <f t="shared" si="9"/>
        <v>17.732599999999998</v>
      </c>
      <c r="G35" s="15">
        <f t="shared" si="6"/>
        <v>-16.586392724823213</v>
      </c>
      <c r="H35" s="16">
        <f t="shared" si="7"/>
        <v>0.41041206188502255</v>
      </c>
      <c r="I35" s="17">
        <f t="shared" si="10"/>
        <v>307.36318080259764</v>
      </c>
      <c r="J35">
        <f t="shared" si="5"/>
        <v>126.14555678073307</v>
      </c>
    </row>
    <row r="36" spans="2:10">
      <c r="B36" s="2">
        <v>1.79406</v>
      </c>
      <c r="C36" s="2">
        <v>-7.3922999999999996</v>
      </c>
      <c r="D36" s="2">
        <v>-24.072900000000001</v>
      </c>
      <c r="E36" s="2">
        <f t="shared" si="8"/>
        <v>-25.072900000000001</v>
      </c>
      <c r="F36" s="2">
        <f t="shared" si="9"/>
        <v>17.680600000000002</v>
      </c>
      <c r="G36" s="15">
        <f t="shared" si="6"/>
        <v>-16.694371247994013</v>
      </c>
      <c r="H36" s="16">
        <f t="shared" si="7"/>
        <v>0.40108893550551894</v>
      </c>
      <c r="I36" s="17">
        <f t="shared" si="10"/>
        <v>312.10674227147575</v>
      </c>
      <c r="J36">
        <f t="shared" si="5"/>
        <v>125.18256102176156</v>
      </c>
    </row>
    <row r="37" spans="2:10">
      <c r="B37" s="2">
        <v>1.9141999999999999</v>
      </c>
      <c r="C37" s="2">
        <v>-7.6882299999999999</v>
      </c>
      <c r="D37" s="2">
        <v>-23.645600000000002</v>
      </c>
      <c r="E37" s="2">
        <f t="shared" si="8"/>
        <v>-24.645600000000002</v>
      </c>
      <c r="F37" s="2">
        <f t="shared" si="9"/>
        <v>16.957370000000001</v>
      </c>
      <c r="G37" s="15">
        <f t="shared" si="6"/>
        <v>-16.987527985259476</v>
      </c>
      <c r="H37" s="16">
        <f t="shared" si="7"/>
        <v>0.32100154197178349</v>
      </c>
      <c r="I37" s="17">
        <f t="shared" si="10"/>
        <v>388.05692830421935</v>
      </c>
      <c r="J37">
        <f t="shared" si="5"/>
        <v>124.56687235848824</v>
      </c>
    </row>
    <row r="38" spans="2:10">
      <c r="B38" s="2">
        <v>2.3881600000000001</v>
      </c>
      <c r="C38" s="2">
        <v>-7.2626600000000003</v>
      </c>
      <c r="D38" s="2">
        <v>-23.035900000000002</v>
      </c>
      <c r="E38" s="2">
        <f t="shared" si="8"/>
        <v>-24.035900000000002</v>
      </c>
      <c r="F38" s="2">
        <f t="shared" si="9"/>
        <v>16.773240000000001</v>
      </c>
      <c r="G38" s="15">
        <f t="shared" si="6"/>
        <v>-16.565946149426395</v>
      </c>
      <c r="H38" s="16">
        <f t="shared" si="7"/>
        <v>0.31549064175696701</v>
      </c>
      <c r="I38" s="17">
        <f t="shared" si="10"/>
        <v>410.79253954319068</v>
      </c>
      <c r="J38">
        <f t="shared" si="5"/>
        <v>129.60120192945547</v>
      </c>
    </row>
    <row r="39" spans="2:10">
      <c r="B39" s="2">
        <v>2.4147699999999999</v>
      </c>
      <c r="C39" s="2">
        <v>-7.4187000000000003</v>
      </c>
      <c r="D39" s="2">
        <v>-23.903600000000001</v>
      </c>
      <c r="E39" s="2">
        <f t="shared" si="8"/>
        <v>-24.903600000000001</v>
      </c>
      <c r="F39" s="2">
        <f t="shared" si="9"/>
        <v>17.4849</v>
      </c>
      <c r="G39" s="15">
        <f t="shared" si="6"/>
        <v>-16.720523844431682</v>
      </c>
      <c r="H39" s="16">
        <f t="shared" si="7"/>
        <v>0.38086619187225912</v>
      </c>
      <c r="I39" s="17">
        <f t="shared" si="10"/>
        <v>330.75899068905704</v>
      </c>
      <c r="J39">
        <f t="shared" si="5"/>
        <v>125.97491721125317</v>
      </c>
    </row>
    <row r="40" spans="2:10">
      <c r="B40" s="2">
        <v>2.4498600000000001</v>
      </c>
      <c r="C40" s="2">
        <v>-7.0746700000000002</v>
      </c>
      <c r="D40" s="2">
        <v>-23.034400000000002</v>
      </c>
      <c r="E40" s="2">
        <f t="shared" si="8"/>
        <v>-24.034400000000002</v>
      </c>
      <c r="F40" s="2">
        <f t="shared" si="9"/>
        <v>16.95973</v>
      </c>
      <c r="G40" s="15">
        <f t="shared" si="6"/>
        <v>-16.379717868959688</v>
      </c>
      <c r="H40" s="16">
        <f t="shared" si="7"/>
        <v>0.34013456007667953</v>
      </c>
      <c r="I40" s="17">
        <f t="shared" si="10"/>
        <v>387.77540428104538</v>
      </c>
      <c r="J40">
        <f t="shared" si="5"/>
        <v>131.89581654368993</v>
      </c>
    </row>
    <row r="41" spans="2:10">
      <c r="B41" s="2">
        <v>2.5975199999999998</v>
      </c>
      <c r="C41" s="2">
        <v>-6.5110200000000003</v>
      </c>
      <c r="D41" s="2">
        <v>-23.146699999999999</v>
      </c>
      <c r="E41" s="2">
        <f t="shared" si="8"/>
        <v>-24.146699999999999</v>
      </c>
      <c r="F41" s="2">
        <f t="shared" si="9"/>
        <v>17.635680000000001</v>
      </c>
      <c r="G41" s="15">
        <f t="shared" si="6"/>
        <v>-15.821350028728261</v>
      </c>
      <c r="H41" s="16">
        <f t="shared" si="7"/>
        <v>0.43251196863613306</v>
      </c>
      <c r="I41" s="17">
        <f t="shared" si="10"/>
        <v>316.27482577856074</v>
      </c>
      <c r="J41">
        <f t="shared" si="5"/>
        <v>136.79264752753531</v>
      </c>
    </row>
    <row r="42" spans="2:10">
      <c r="G42" s="8"/>
    </row>
    <row r="43" spans="2:10">
      <c r="G43" s="8"/>
    </row>
    <row r="44" spans="2:10">
      <c r="G44" s="8"/>
    </row>
    <row r="45" spans="2:10">
      <c r="G45" s="8"/>
    </row>
    <row r="46" spans="2:10">
      <c r="G46" s="8"/>
    </row>
    <row r="47" spans="2:10">
      <c r="G47" s="8"/>
    </row>
    <row r="48" spans="2:10">
      <c r="G48" s="8"/>
    </row>
    <row r="49" spans="7:7">
      <c r="G49" s="8"/>
    </row>
    <row r="50" spans="7:7">
      <c r="G50" s="8"/>
    </row>
    <row r="51" spans="7:7">
      <c r="G51" s="8"/>
    </row>
    <row r="52" spans="7:7">
      <c r="G52" s="8"/>
    </row>
    <row r="53" spans="7:7">
      <c r="G53" s="8"/>
    </row>
    <row r="54" spans="7:7">
      <c r="G54" s="8"/>
    </row>
    <row r="55" spans="7:7">
      <c r="G55" s="8"/>
    </row>
    <row r="56" spans="7:7">
      <c r="G56" s="8"/>
    </row>
    <row r="57" spans="7:7">
      <c r="G57" s="8"/>
    </row>
    <row r="58" spans="7:7">
      <c r="G58" s="8"/>
    </row>
    <row r="59" spans="7:7">
      <c r="G59" s="8"/>
    </row>
    <row r="60" spans="7:7">
      <c r="G60" s="8"/>
    </row>
    <row r="61" spans="7:7">
      <c r="G61" s="8"/>
    </row>
  </sheetData>
  <sortState xmlns:xlrd2="http://schemas.microsoft.com/office/spreadsheetml/2017/richdata2" ref="A1:E61">
    <sortCondition sortBy="cellColor" ref="B2:B61" dxfId="0"/>
  </sortState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 (2)</vt:lpstr>
      <vt:lpstr>Sheet1</vt:lpstr>
      <vt:lpstr>Sheet2</vt:lpstr>
      <vt:lpstr>蓝田</vt:lpstr>
    </vt:vector>
  </TitlesOfParts>
  <Company>番茄花园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番茄花园</dc:creator>
  <cp:lastModifiedBy>Microsoft Office User</cp:lastModifiedBy>
  <dcterms:created xsi:type="dcterms:W3CDTF">2012-11-28T09:10:46Z</dcterms:created>
  <dcterms:modified xsi:type="dcterms:W3CDTF">2022-11-11T15:46:13Z</dcterms:modified>
</cp:coreProperties>
</file>