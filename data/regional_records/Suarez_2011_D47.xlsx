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jiawei2022/Documents/work/2024_westerly/redclay_jet/data/regional_records/"/>
    </mc:Choice>
  </mc:AlternateContent>
  <xr:revisionPtr revIDLastSave="0" documentId="13_ncr:9_{E97F8FA8-9E80-BB4F-B2FE-F36D0A5EAFF7}" xr6:coauthVersionLast="47" xr6:coauthVersionMax="47" xr10:uidLastSave="{00000000-0000-0000-0000-000000000000}"/>
  <bookViews>
    <workbookView xWindow="4160" yWindow="22340" windowWidth="29400" windowHeight="18380" activeTab="2" xr2:uid="{7E1252D2-2CFD-FF42-B630-16235A8AC7D4}"/>
  </bookViews>
  <sheets>
    <sheet name="Suarez_2011_D47" sheetId="1" r:id="rId1"/>
    <sheet name="suarez_data" sheetId="4" r:id="rId2"/>
    <sheet name="consolidate" sheetId="5" r:id="rId3"/>
  </sheets>
  <definedNames>
    <definedName name="_xlnm._FilterDatabase" localSheetId="0" hidden="1">Suarez_2011_D47!$A$1:$T$399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5" l="1"/>
  <c r="J4" i="5"/>
  <c r="J5" i="5"/>
  <c r="J6" i="5"/>
  <c r="J7" i="5"/>
  <c r="J8" i="5"/>
  <c r="J9" i="5"/>
  <c r="J10" i="5"/>
  <c r="J11" i="5"/>
  <c r="J12" i="5"/>
  <c r="J13" i="5"/>
  <c r="J14" i="5"/>
  <c r="J15" i="5"/>
  <c r="J16" i="5"/>
  <c r="J17" i="5"/>
  <c r="J18" i="5"/>
  <c r="J19" i="5"/>
  <c r="J20" i="5"/>
  <c r="J21" i="5"/>
  <c r="J22" i="5"/>
  <c r="J23" i="5"/>
  <c r="J24" i="5"/>
  <c r="J25" i="5"/>
  <c r="J26" i="5"/>
  <c r="J27" i="5"/>
  <c r="J28" i="5"/>
  <c r="J29" i="5"/>
  <c r="J30" i="5"/>
  <c r="J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2" i="5"/>
  <c r="H3" i="5" l="1"/>
  <c r="H4" i="5"/>
  <c r="H5" i="5"/>
  <c r="H6" i="5"/>
  <c r="H7" i="5"/>
  <c r="H8" i="5"/>
  <c r="H9" i="5"/>
  <c r="H10" i="5"/>
  <c r="H11" i="5"/>
  <c r="H12" i="5"/>
  <c r="H13" i="5"/>
  <c r="H14" i="5"/>
  <c r="H15" i="5"/>
  <c r="H16" i="5"/>
  <c r="H17" i="5"/>
  <c r="H18" i="5"/>
  <c r="H19" i="5"/>
  <c r="H20" i="5"/>
  <c r="H21" i="5"/>
  <c r="H22" i="5"/>
  <c r="H23" i="5"/>
  <c r="H24" i="5"/>
  <c r="H25" i="5"/>
  <c r="H26" i="5"/>
  <c r="H27" i="5"/>
  <c r="H28" i="5"/>
  <c r="H29" i="5"/>
  <c r="H30" i="5"/>
  <c r="H2" i="5"/>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2" i="4"/>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70" i="1"/>
  <c r="K69" i="1"/>
  <c r="K68" i="1"/>
  <c r="K67" i="1"/>
  <c r="K66" i="1"/>
  <c r="K65" i="1"/>
  <c r="K64" i="1"/>
  <c r="K63" i="1"/>
  <c r="K62" i="1"/>
  <c r="K61" i="1"/>
  <c r="K60" i="1"/>
  <c r="K58" i="1"/>
  <c r="K57" i="1"/>
  <c r="K56" i="1"/>
  <c r="K55" i="1"/>
  <c r="K54" i="1"/>
  <c r="K53" i="1"/>
  <c r="K52" i="1"/>
  <c r="K51" i="1"/>
  <c r="K50" i="1"/>
  <c r="K49" i="1"/>
  <c r="K48" i="1"/>
  <c r="K47" i="1"/>
  <c r="K46" i="1"/>
  <c r="K45" i="1"/>
  <c r="K44" i="1"/>
  <c r="K42" i="1"/>
  <c r="K41" i="1"/>
  <c r="K40" i="1"/>
  <c r="K39" i="1"/>
  <c r="K38" i="1"/>
  <c r="K37" i="1"/>
  <c r="K36" i="1"/>
  <c r="K35" i="1"/>
  <c r="K33" i="1"/>
  <c r="K32" i="1"/>
  <c r="K31" i="1"/>
  <c r="K29" i="1"/>
  <c r="K28" i="1"/>
  <c r="K26" i="1"/>
  <c r="K25" i="1"/>
  <c r="K24" i="1"/>
  <c r="K22" i="1"/>
  <c r="K20" i="1"/>
  <c r="K19" i="1"/>
  <c r="K18" i="1"/>
  <c r="K16" i="1"/>
  <c r="K15" i="1"/>
  <c r="K14" i="1"/>
  <c r="K13" i="1"/>
  <c r="K12" i="1"/>
  <c r="K11" i="1"/>
  <c r="K10" i="1"/>
  <c r="K9" i="1"/>
  <c r="K8" i="1"/>
  <c r="K7" i="1"/>
  <c r="K6" i="1"/>
  <c r="K5" i="1"/>
  <c r="K4" i="1"/>
  <c r="K3" i="1"/>
</calcChain>
</file>

<file path=xl/sharedStrings.xml><?xml version="1.0" encoding="utf-8"?>
<sst xmlns="http://schemas.openxmlformats.org/spreadsheetml/2006/main" count="2063" uniqueCount="689">
  <si>
    <t>Laboratory ID</t>
  </si>
  <si>
    <t>Sample ID</t>
  </si>
  <si>
    <t>Heated Gas</t>
  </si>
  <si>
    <t>Sample Series 1, January through May 2010</t>
  </si>
  <si>
    <t>GH0015</t>
  </si>
  <si>
    <t>GH-102-GC-AZ01-2</t>
  </si>
  <si>
    <t>102-GC-AZ01</t>
  </si>
  <si>
    <t>GH0020</t>
  </si>
  <si>
    <t>GH-102-GC-AZ01-1</t>
  </si>
  <si>
    <t>GH0028</t>
  </si>
  <si>
    <t>GH0025</t>
  </si>
  <si>
    <t>GH-UU-Carrara-1</t>
  </si>
  <si>
    <t>UU Carrara</t>
  </si>
  <si>
    <t>GH0023</t>
  </si>
  <si>
    <t>MBS-CI-5</t>
  </si>
  <si>
    <t>MBS_11-16-09_EnrCO2-1</t>
  </si>
  <si>
    <t>MBS-CI-7</t>
  </si>
  <si>
    <t>MBS-CI-10</t>
  </si>
  <si>
    <t>MBS_11-11-09_Tank1CO2-3</t>
  </si>
  <si>
    <t>MBS-CI-15</t>
  </si>
  <si>
    <t>MBS-CI-16</t>
  </si>
  <si>
    <t>MBS_11-11-09_Tank1CO2-2</t>
  </si>
  <si>
    <t>BP-CI-665</t>
  </si>
  <si>
    <t>Depleted 25C Equilibration</t>
  </si>
  <si>
    <t>BP-CI-666</t>
  </si>
  <si>
    <t>Enriched 25C Equilibration</t>
  </si>
  <si>
    <t>BP-CI-667</t>
  </si>
  <si>
    <t>Caltech BOC Heated Gas</t>
  </si>
  <si>
    <t>BP-CI-669</t>
  </si>
  <si>
    <t>Depleted 25C Equil CO2</t>
  </si>
  <si>
    <t>BP-CI-668</t>
  </si>
  <si>
    <t>Caltech Heated Gas</t>
  </si>
  <si>
    <t>BP-CI-670</t>
  </si>
  <si>
    <t>Enriched Equil Gas, 27C</t>
  </si>
  <si>
    <t>BP-CI-671</t>
  </si>
  <si>
    <t>GH-CI-04</t>
  </si>
  <si>
    <t>GH-CI-05</t>
  </si>
  <si>
    <t>NBS-19</t>
  </si>
  <si>
    <t>GH-CI-08</t>
  </si>
  <si>
    <t>Heated Gas, GH0019</t>
  </si>
  <si>
    <t>GH-CI-12</t>
  </si>
  <si>
    <t>GH-CI-13</t>
  </si>
  <si>
    <t>Depleted Equil Gas, 27C</t>
  </si>
  <si>
    <t>GH-CI-15</t>
  </si>
  <si>
    <t>Heated Gas, GH0018</t>
  </si>
  <si>
    <t>GH-CI-18</t>
  </si>
  <si>
    <t>GH-CI-19</t>
  </si>
  <si>
    <t>GH-CI-21</t>
  </si>
  <si>
    <t>GH-CI-22</t>
  </si>
  <si>
    <t>Heated Gas, GH0022</t>
  </si>
  <si>
    <t>GH-CI-24</t>
  </si>
  <si>
    <t>GH-CI-25</t>
  </si>
  <si>
    <t>GH-CI-26</t>
  </si>
  <si>
    <t>Heated Gas, GH0021</t>
  </si>
  <si>
    <t>GH-CI-30</t>
  </si>
  <si>
    <t>GH-CI-32</t>
  </si>
  <si>
    <t>Heated Gas, GH0065</t>
  </si>
  <si>
    <t>GH-CI-35</t>
  </si>
  <si>
    <t>GH-CI-38</t>
  </si>
  <si>
    <t>Heated Gas, GH0024</t>
  </si>
  <si>
    <t>GH-CI-40</t>
  </si>
  <si>
    <t>GH-CI-44</t>
  </si>
  <si>
    <t>GH-CI-45</t>
  </si>
  <si>
    <t>Heated Gas, GH0016</t>
  </si>
  <si>
    <t>GH-CI-46</t>
  </si>
  <si>
    <t>BP-CI-681</t>
  </si>
  <si>
    <t>Heated Reg CO2</t>
  </si>
  <si>
    <t>BP-CI-679</t>
  </si>
  <si>
    <t>MBS-CI-17</t>
  </si>
  <si>
    <t>MBS-CI-18</t>
  </si>
  <si>
    <t>CN2004-BD-124</t>
  </si>
  <si>
    <t>MBS-CI-19</t>
  </si>
  <si>
    <t>CN2005-BD-340</t>
  </si>
  <si>
    <t>MBS-CI-20</t>
  </si>
  <si>
    <t>CN2004-BD-240spar</t>
  </si>
  <si>
    <t>MBS-CI-21</t>
  </si>
  <si>
    <t>MBS-CI-22</t>
  </si>
  <si>
    <t>MBS-CI-23</t>
  </si>
  <si>
    <t>MBS_11-13-09_Tank1CO2-1</t>
  </si>
  <si>
    <t>MBS-CI-24</t>
  </si>
  <si>
    <t>MBS-CI-25</t>
  </si>
  <si>
    <t>MBS-CI-27</t>
  </si>
  <si>
    <t>MBS-CI-28</t>
  </si>
  <si>
    <t>MBS-CI-29</t>
  </si>
  <si>
    <t>MBS_11-16-09_EnrCO2-2</t>
  </si>
  <si>
    <t>MBS-CI-30</t>
  </si>
  <si>
    <t>MBS-CI-31</t>
  </si>
  <si>
    <t>Equil Gas Enriched, 27C</t>
  </si>
  <si>
    <t>MBS-CI-32</t>
  </si>
  <si>
    <t>CN2005-BD-364</t>
  </si>
  <si>
    <t>MBS-CI-33</t>
  </si>
  <si>
    <t>CN2004-BD-95</t>
  </si>
  <si>
    <t>MBS-CI-34</t>
  </si>
  <si>
    <t>MBS-CI-36</t>
  </si>
  <si>
    <t>MBS-CI-37</t>
  </si>
  <si>
    <t>MBS-CI-38</t>
  </si>
  <si>
    <t>MBS-CI-39</t>
  </si>
  <si>
    <t>MBS_11-16-09_EnrCO2-3</t>
  </si>
  <si>
    <t>MBS-CI-41</t>
  </si>
  <si>
    <t>MBS-CI-43</t>
  </si>
  <si>
    <t>Equil Gas Depleted, 27C</t>
  </si>
  <si>
    <t>MBS-CI-45</t>
  </si>
  <si>
    <t>Sample</t>
  </si>
  <si>
    <t>05_Mar_10</t>
  </si>
  <si>
    <t>MBS-CI-49</t>
  </si>
  <si>
    <t>CN2004-BD-231</t>
  </si>
  <si>
    <t>Standard</t>
  </si>
  <si>
    <t>MBS-CI-50</t>
  </si>
  <si>
    <t>MBS-CI-51</t>
  </si>
  <si>
    <t>CN2004-BD-117</t>
  </si>
  <si>
    <t>06_Mar_10</t>
  </si>
  <si>
    <t>MBS-CI-52</t>
  </si>
  <si>
    <t>MBS_11-13-09_Tank1CO2-2</t>
  </si>
  <si>
    <t>MBS-CI-53</t>
  </si>
  <si>
    <t>CN2005-BD-375</t>
  </si>
  <si>
    <t>MBS-CI-54</t>
  </si>
  <si>
    <t>MBS-CI-55</t>
  </si>
  <si>
    <t>MBS-CI-56</t>
  </si>
  <si>
    <t>Equilibrated Gas</t>
  </si>
  <si>
    <t>07_Mar_10</t>
  </si>
  <si>
    <t>MBS-CI-57</t>
  </si>
  <si>
    <t>MBS-CI-58</t>
  </si>
  <si>
    <t>MBS-CI-59</t>
  </si>
  <si>
    <t>CN2004-BD-240</t>
  </si>
  <si>
    <t>MBS-CI-60</t>
  </si>
  <si>
    <t>CN2004-BD-201</t>
  </si>
  <si>
    <t>MBS-CI-61</t>
  </si>
  <si>
    <t>08_Mar_10</t>
  </si>
  <si>
    <t>MBS-CI-62</t>
  </si>
  <si>
    <t>MBS_11-11-09_Tank1CO2-1</t>
  </si>
  <si>
    <t>MBS-CI-63</t>
  </si>
  <si>
    <t>MBS-CI-64</t>
  </si>
  <si>
    <t>MBS-CI-65</t>
  </si>
  <si>
    <t>CN2004-BD-252</t>
  </si>
  <si>
    <t>MBS-CI-66</t>
  </si>
  <si>
    <t>MBS-CI-67</t>
  </si>
  <si>
    <t>09_Mar_10</t>
  </si>
  <si>
    <t>MBS-CI-68</t>
  </si>
  <si>
    <t>MBS-CI-69</t>
  </si>
  <si>
    <t>MBS_11-17-09_EnrCO2-2</t>
  </si>
  <si>
    <t>MBS-CI-70</t>
  </si>
  <si>
    <t>MBS-CI-71</t>
  </si>
  <si>
    <t>GH-CI-51</t>
  </si>
  <si>
    <t>11_Mar_10</t>
  </si>
  <si>
    <t>GH-CI-56</t>
  </si>
  <si>
    <t>GH0061</t>
  </si>
  <si>
    <t>GH-CI-57</t>
  </si>
  <si>
    <t>GH-CI-60</t>
  </si>
  <si>
    <t>12_Mar_10</t>
  </si>
  <si>
    <t>GH-CI-63</t>
  </si>
  <si>
    <t>GH-CI-65</t>
  </si>
  <si>
    <t>13_Mar_10</t>
  </si>
  <si>
    <t>GH-CI-69</t>
  </si>
  <si>
    <t>GH0063</t>
  </si>
  <si>
    <t>GH-CI-70</t>
  </si>
  <si>
    <t>GH-CI-72</t>
  </si>
  <si>
    <t>15_Mar_10</t>
  </si>
  <si>
    <t>BP-CI-684</t>
  </si>
  <si>
    <t>16_Mar_10</t>
  </si>
  <si>
    <t>BP-CI-682</t>
  </si>
  <si>
    <t>17_Mar_10</t>
  </si>
  <si>
    <t>BP-CI-693</t>
  </si>
  <si>
    <t>BP-CI-672</t>
  </si>
  <si>
    <t>Heated Evap CO2</t>
  </si>
  <si>
    <t>BP-CI-697</t>
  </si>
  <si>
    <t>18_Mar_10</t>
  </si>
  <si>
    <t>BP-CI-705</t>
  </si>
  <si>
    <t>19_Mar_10</t>
  </si>
  <si>
    <t>BP-CI-702</t>
  </si>
  <si>
    <t>2-8-E</t>
  </si>
  <si>
    <t>BP-CI-721</t>
  </si>
  <si>
    <t>20_Mar_10</t>
  </si>
  <si>
    <t>BP-CI-711</t>
  </si>
  <si>
    <t>BP-CI-674</t>
  </si>
  <si>
    <t>21_Mar_10</t>
  </si>
  <si>
    <t>BP-CI-716</t>
  </si>
  <si>
    <t>22_Mar_10</t>
  </si>
  <si>
    <t>GH-CI-73</t>
  </si>
  <si>
    <t>GH-CI-76</t>
  </si>
  <si>
    <t>GH0064</t>
  </si>
  <si>
    <t>23_Mar_10</t>
  </si>
  <si>
    <t>GH-CI-78</t>
  </si>
  <si>
    <t>GH-CI-80</t>
  </si>
  <si>
    <t>24_Mar_10</t>
  </si>
  <si>
    <t>GH-CI-83</t>
  </si>
  <si>
    <t>GH-CI-85</t>
  </si>
  <si>
    <t>GH-CI-86</t>
  </si>
  <si>
    <t>25_Mar_10</t>
  </si>
  <si>
    <t>GH-CI-87</t>
  </si>
  <si>
    <t>GH0079</t>
  </si>
  <si>
    <t>GH-CI-91</t>
  </si>
  <si>
    <t>26_Mar_10</t>
  </si>
  <si>
    <t>GH-CI-92</t>
  </si>
  <si>
    <t>GH0060</t>
  </si>
  <si>
    <t>GH-CI-95</t>
  </si>
  <si>
    <t>27_Mar_10</t>
  </si>
  <si>
    <t>GH-CI-96</t>
  </si>
  <si>
    <t>GH-CI-97</t>
  </si>
  <si>
    <t>GH0080</t>
  </si>
  <si>
    <t>28_Mar_10</t>
  </si>
  <si>
    <t>GH-CI-101</t>
  </si>
  <si>
    <t>GH-CI-102</t>
  </si>
  <si>
    <t>GH-CI-103</t>
  </si>
  <si>
    <t>GH0062</t>
  </si>
  <si>
    <t>GH-CI-104</t>
  </si>
  <si>
    <t>GH0083</t>
  </si>
  <si>
    <t>29_Mar_10</t>
  </si>
  <si>
    <t>GH-CI-105</t>
  </si>
  <si>
    <t>GH0066</t>
  </si>
  <si>
    <t>RK-CI-013</t>
  </si>
  <si>
    <t>30_Mar_10</t>
  </si>
  <si>
    <t>RK-CI-008a</t>
  </si>
  <si>
    <t>Evap CO2</t>
  </si>
  <si>
    <t>RK-CI-020</t>
  </si>
  <si>
    <t>31_Mar_10</t>
  </si>
  <si>
    <t>RK-CI-024</t>
  </si>
  <si>
    <t>RK-CI-003</t>
  </si>
  <si>
    <t>Reg CO2</t>
  </si>
  <si>
    <t>1_Apr_10</t>
  </si>
  <si>
    <t>BP-CI-726</t>
  </si>
  <si>
    <t>BP-CI-673</t>
  </si>
  <si>
    <t>BP-CI-730</t>
  </si>
  <si>
    <t>2_Apr_10</t>
  </si>
  <si>
    <t>BP-CI-706</t>
  </si>
  <si>
    <t>BP-CI-738</t>
  </si>
  <si>
    <t>7_Apr_10</t>
  </si>
  <si>
    <t>MBS-CI-81</t>
  </si>
  <si>
    <t>MBS_3-24-10_RegCO2-2</t>
  </si>
  <si>
    <t>8_Apr_10</t>
  </si>
  <si>
    <t>MBS-CI-85</t>
  </si>
  <si>
    <t>MBS_3-25-10_EnrCO2</t>
  </si>
  <si>
    <t>MBS-CI-86</t>
  </si>
  <si>
    <t>CN2004-BD-162</t>
  </si>
  <si>
    <t>MBS-CI-87</t>
  </si>
  <si>
    <t>CN2004-BD-141</t>
  </si>
  <si>
    <t>9_Apr_10</t>
  </si>
  <si>
    <t>MBS-CI-89</t>
  </si>
  <si>
    <t>MBS-CI-90</t>
  </si>
  <si>
    <t>10_Apr_10</t>
  </si>
  <si>
    <t>RAK-CI-001</t>
  </si>
  <si>
    <t>RK-CI-027</t>
  </si>
  <si>
    <t>11_Apr_10</t>
  </si>
  <si>
    <t>RK-CI-031</t>
  </si>
  <si>
    <t>RK-CI-007</t>
  </si>
  <si>
    <t>12_Apr_10</t>
  </si>
  <si>
    <t>RK-CI-036</t>
  </si>
  <si>
    <t>RK-CI-002</t>
  </si>
  <si>
    <t>13_Apr_10</t>
  </si>
  <si>
    <t>RK-CI-041</t>
  </si>
  <si>
    <t>14_Apr_10</t>
  </si>
  <si>
    <t>RK-CI-009</t>
  </si>
  <si>
    <t>RK-CI-043</t>
  </si>
  <si>
    <t>RK-CI-004</t>
  </si>
  <si>
    <t>15_Apr_10</t>
  </si>
  <si>
    <t>RK-CI-048</t>
  </si>
  <si>
    <t>RK-CI-012</t>
  </si>
  <si>
    <t>16_Apr_10</t>
  </si>
  <si>
    <t>RK-CI-005</t>
  </si>
  <si>
    <t>RK-CI-053</t>
  </si>
  <si>
    <t>17_Apr_10</t>
  </si>
  <si>
    <t>GH-CI-106</t>
  </si>
  <si>
    <t>GH-CI-110</t>
  </si>
  <si>
    <t>18_Apr_10</t>
  </si>
  <si>
    <t>GH-CI-112</t>
  </si>
  <si>
    <t>GH-CI-116</t>
  </si>
  <si>
    <t>19_Apr_10</t>
  </si>
  <si>
    <t>GH-CI-120</t>
  </si>
  <si>
    <t>GH-CI-124</t>
  </si>
  <si>
    <t>GH-CI-125</t>
  </si>
  <si>
    <t>20_Apr_10</t>
  </si>
  <si>
    <t>GH-CI-126</t>
  </si>
  <si>
    <t>RK-CI-006</t>
  </si>
  <si>
    <t>21_Apr_10</t>
  </si>
  <si>
    <t>RK-CI-059</t>
  </si>
  <si>
    <t>RK-CI-010</t>
  </si>
  <si>
    <t>22_Apr_10</t>
  </si>
  <si>
    <t>RK-CI-064</t>
  </si>
  <si>
    <t>RK-CI-068</t>
  </si>
  <si>
    <t>23_Apr_10</t>
  </si>
  <si>
    <t>RK-CI-070</t>
  </si>
  <si>
    <t>24_Apr_10</t>
  </si>
  <si>
    <t>RK-CI-076</t>
  </si>
  <si>
    <t>MBS-CI-92</t>
  </si>
  <si>
    <t>MBS-CI-93</t>
  </si>
  <si>
    <t>MBS-CI-94</t>
  </si>
  <si>
    <t>MBS-CI-95</t>
  </si>
  <si>
    <t>CN2005-BD-391</t>
  </si>
  <si>
    <t>25_Apr_10</t>
  </si>
  <si>
    <t>MBS-CI-96</t>
  </si>
  <si>
    <t>MBS_3-25-10_EnrCO2-5</t>
  </si>
  <si>
    <t>MBS-CI-97</t>
  </si>
  <si>
    <t>CN2005-BD-395</t>
  </si>
  <si>
    <t>MBS-CI-98</t>
  </si>
  <si>
    <t>MBS-CI-100</t>
  </si>
  <si>
    <t>MBS-CI-101</t>
  </si>
  <si>
    <t>MBS-CI-102</t>
  </si>
  <si>
    <t>MBS_3-24-10_RegCO2-4</t>
  </si>
  <si>
    <t>26_Apr_10</t>
  </si>
  <si>
    <t>MBS-CI-103</t>
  </si>
  <si>
    <t>MBS-CI-104</t>
  </si>
  <si>
    <t>CN2005-BD-399</t>
  </si>
  <si>
    <t>MBS-CI-105</t>
  </si>
  <si>
    <t>MBS-CI-106</t>
  </si>
  <si>
    <t>27_Apr_10</t>
  </si>
  <si>
    <t>MBS-CI-107</t>
  </si>
  <si>
    <t>MBS-CI-108</t>
  </si>
  <si>
    <t>MBS_3-25-10_EnrCO2-4</t>
  </si>
  <si>
    <t>28_Apr_10</t>
  </si>
  <si>
    <t>MBS-CI-114</t>
  </si>
  <si>
    <t>MBS_3-24-10_RegCO2-3</t>
  </si>
  <si>
    <t>30_Apr_10</t>
  </si>
  <si>
    <t>MBS-CI-119</t>
  </si>
  <si>
    <t>MBS_3-25-10_EnrCO2-1</t>
  </si>
  <si>
    <t>01_May_10</t>
  </si>
  <si>
    <t>MBS-CI-124</t>
  </si>
  <si>
    <t>MBS_3-24-10_RegCO2-1</t>
  </si>
  <si>
    <t>02_May_10</t>
  </si>
  <si>
    <t>MBS-CI-128</t>
  </si>
  <si>
    <t>MBS_3-25-10_EnrCO2-3</t>
  </si>
  <si>
    <t>BP-CI-753</t>
  </si>
  <si>
    <t>BP-CI-745</t>
  </si>
  <si>
    <t>03_May_10</t>
  </si>
  <si>
    <t>BP-CI-749</t>
  </si>
  <si>
    <t>04_May_10</t>
  </si>
  <si>
    <t>BP-CI-704</t>
  </si>
  <si>
    <t>BP-CI-754</t>
  </si>
  <si>
    <t>BP-CI-755</t>
  </si>
  <si>
    <t>Roth Equil, 50C</t>
  </si>
  <si>
    <t>05_May_10</t>
  </si>
  <si>
    <t>BP-CI-756</t>
  </si>
  <si>
    <t>Roth Equil, 0C</t>
  </si>
  <si>
    <t>Roth Equil, 25C</t>
  </si>
  <si>
    <t>BP-CI-718</t>
  </si>
  <si>
    <t>BP-CI-764</t>
  </si>
  <si>
    <t>06_May_10</t>
  </si>
  <si>
    <t>BP-CI-759</t>
  </si>
  <si>
    <t>07_May_10</t>
  </si>
  <si>
    <t>BP-CI-765</t>
  </si>
  <si>
    <t>BP-CI-766</t>
  </si>
  <si>
    <t>Equil Roth Water, 0C</t>
  </si>
  <si>
    <t>Equil Roth Water, 50C</t>
  </si>
  <si>
    <t>BP-CI-768</t>
  </si>
  <si>
    <t>08_May_10</t>
  </si>
  <si>
    <t>BP-CI-733</t>
  </si>
  <si>
    <t>JHV-CI-011</t>
  </si>
  <si>
    <t>JHV-CI-014</t>
  </si>
  <si>
    <t>heated reg co2</t>
  </si>
  <si>
    <t>JHU-CI-023</t>
  </si>
  <si>
    <t>Sample Series 2, May through September 2010</t>
  </si>
  <si>
    <t>JHU-CI-063</t>
  </si>
  <si>
    <t>JHU-CI-061</t>
  </si>
  <si>
    <t>JHU-CI-069</t>
  </si>
  <si>
    <t>Equil Gas Enriched, 30C</t>
  </si>
  <si>
    <t>JHU-CI-070</t>
  </si>
  <si>
    <t>Equil Gas Depleted, 30C</t>
  </si>
  <si>
    <t>JHU-CI-015</t>
  </si>
  <si>
    <t>JHU-CI-75</t>
  </si>
  <si>
    <t>JHU-CI-065</t>
  </si>
  <si>
    <t>JHU-CI-086</t>
  </si>
  <si>
    <t>JHU-CI-097</t>
  </si>
  <si>
    <t>Enriched Equil Gas, 30C</t>
  </si>
  <si>
    <t>JHU-CI-102</t>
  </si>
  <si>
    <t>JHU-CI-067</t>
  </si>
  <si>
    <t>JHU-CI-107</t>
  </si>
  <si>
    <t>JHU-CI-117</t>
  </si>
  <si>
    <t>JHU-CI-112</t>
  </si>
  <si>
    <t>JHU-CI-116</t>
  </si>
  <si>
    <t>JHU-CI-118</t>
  </si>
  <si>
    <t>JHU-CI-093</t>
  </si>
  <si>
    <t>JHU-CI-119</t>
  </si>
  <si>
    <t>JHU-CI-129</t>
  </si>
  <si>
    <t>JHU-CI-096</t>
  </si>
  <si>
    <t>JHU-CI-131</t>
  </si>
  <si>
    <t>B/L B155</t>
  </si>
  <si>
    <t>JHU-CI-134</t>
  </si>
  <si>
    <t>B/L 1B</t>
  </si>
  <si>
    <t>JHU-CI-137</t>
  </si>
  <si>
    <t>B/L B112</t>
  </si>
  <si>
    <t>JHU-CI-147</t>
  </si>
  <si>
    <t>Reg CO2 GH 0082</t>
  </si>
  <si>
    <t>JHU-CI-140</t>
  </si>
  <si>
    <t>B/L 6.5A</t>
  </si>
  <si>
    <t>JHU-CI-143</t>
  </si>
  <si>
    <t>B/L 3K</t>
  </si>
  <si>
    <t>JHU-CI-146</t>
  </si>
  <si>
    <t>JHU-CI-132</t>
  </si>
  <si>
    <t>JHU-CI-148</t>
  </si>
  <si>
    <t>Depleted Equil Gas, 30C</t>
  </si>
  <si>
    <t>JHU-CI-138</t>
  </si>
  <si>
    <t>JHU-CI-141</t>
  </si>
  <si>
    <t>JHU-CI-144</t>
  </si>
  <si>
    <t>JHU-CI-153</t>
  </si>
  <si>
    <t>JHU-CI-159</t>
  </si>
  <si>
    <t>JHU-CI-160</t>
  </si>
  <si>
    <t>JHU-CI-161</t>
  </si>
  <si>
    <t>JHU-CI-165</t>
  </si>
  <si>
    <t>JHU-CI-166</t>
  </si>
  <si>
    <t>Reg. CO2</t>
  </si>
  <si>
    <t>JHU-CI-171</t>
  </si>
  <si>
    <t>JHU-CI-172</t>
  </si>
  <si>
    <t>JHU-CI-178</t>
  </si>
  <si>
    <t>JHU-CI-179</t>
  </si>
  <si>
    <t>JHU-CI-185</t>
  </si>
  <si>
    <t>JHU-CI-187</t>
  </si>
  <si>
    <t>Depleted Equil. Gas, 30C</t>
  </si>
  <si>
    <t>JHU-CI-192</t>
  </si>
  <si>
    <t>JHU-CI-193</t>
  </si>
  <si>
    <t>JHU-CI-198</t>
  </si>
  <si>
    <t>JHU-CI-135</t>
  </si>
  <si>
    <t>JHU-CI-145</t>
  </si>
  <si>
    <t>JHU-CI-200</t>
  </si>
  <si>
    <t>Evap CO2 Heated Gas</t>
  </si>
  <si>
    <t>JHU-CI-142</t>
  </si>
  <si>
    <t>JHU-CI-201</t>
  </si>
  <si>
    <t>JHU-CI-139</t>
  </si>
  <si>
    <t>JHU-CI-136</t>
  </si>
  <si>
    <t>JHU-CI-133</t>
  </si>
  <si>
    <t>JHU-CI-202</t>
  </si>
  <si>
    <t>JHU-CI-203</t>
  </si>
  <si>
    <t>JHU-CI-204</t>
  </si>
  <si>
    <t>JHU-CI-205</t>
  </si>
  <si>
    <t>JHU-CI-220</t>
  </si>
  <si>
    <t>Heated Reg CO2 (SL0007/0008)</t>
  </si>
  <si>
    <t>JHU-CI-221</t>
  </si>
  <si>
    <t>JHU-CI-217</t>
  </si>
  <si>
    <t>JHU-CI-226</t>
  </si>
  <si>
    <t>JHU-CI-232</t>
  </si>
  <si>
    <t>JHU-CI-233</t>
  </si>
  <si>
    <t>JHU-CI-234</t>
  </si>
  <si>
    <t>14_Aug_10</t>
  </si>
  <si>
    <t>JHU-CI-238</t>
  </si>
  <si>
    <t>JHU-CI-239</t>
  </si>
  <si>
    <t>15_Aug_10</t>
  </si>
  <si>
    <t>JHU-CI-219</t>
  </si>
  <si>
    <t>JHU-CI-240</t>
  </si>
  <si>
    <t>16_Aug_10</t>
  </si>
  <si>
    <t>JHU-CI-244</t>
  </si>
  <si>
    <t>JHU-CI-248</t>
  </si>
  <si>
    <t>JHU-CI-249</t>
  </si>
  <si>
    <t>17_Aug_10</t>
  </si>
  <si>
    <t>JHU-CI-250</t>
  </si>
  <si>
    <t>JHU-CI-254</t>
  </si>
  <si>
    <t>18_Aug_10</t>
  </si>
  <si>
    <t>JHU-CI-218</t>
  </si>
  <si>
    <t>JHU-CI-258</t>
  </si>
  <si>
    <t>JHU-CI-259</t>
  </si>
  <si>
    <t>19_Aug_10</t>
  </si>
  <si>
    <t>JHU-CI-260</t>
  </si>
  <si>
    <t>B/L 5A</t>
  </si>
  <si>
    <t>JHU-CI-261</t>
  </si>
  <si>
    <t>B/L 120</t>
  </si>
  <si>
    <t>JHU-CI-262</t>
  </si>
  <si>
    <t>JHU-CI-263</t>
  </si>
  <si>
    <t>20_Aug_10</t>
  </si>
  <si>
    <t>JHU-CI-264</t>
  </si>
  <si>
    <t>Evap. CO2</t>
  </si>
  <si>
    <t>JHU-CI-265</t>
  </si>
  <si>
    <t>JHU-CI-266</t>
  </si>
  <si>
    <t>21_Aug_10</t>
  </si>
  <si>
    <t>JHU-CI-267</t>
  </si>
  <si>
    <t>JHU-CI-268</t>
  </si>
  <si>
    <t>B/L 9K</t>
  </si>
  <si>
    <t>JHU-CI-269</t>
  </si>
  <si>
    <t>JHU-CI-270</t>
  </si>
  <si>
    <t>22_Aug_10</t>
  </si>
  <si>
    <t>JHU-CI-271</t>
  </si>
  <si>
    <t>B/L 4K</t>
  </si>
  <si>
    <t>JHU-CI-272</t>
  </si>
  <si>
    <t>JHU-CI-273</t>
  </si>
  <si>
    <t>JHU-CI-274</t>
  </si>
  <si>
    <t>JHU-CI-275</t>
  </si>
  <si>
    <t>23_Aug_10</t>
  </si>
  <si>
    <t>JHU-CI-276</t>
  </si>
  <si>
    <t>JHU-CI-277</t>
  </si>
  <si>
    <t>24_Aug_10</t>
  </si>
  <si>
    <t>JHU-CI-281</t>
  </si>
  <si>
    <t>JHU-CI-283</t>
  </si>
  <si>
    <t>JHU-CI-286</t>
  </si>
  <si>
    <t>25_Aug_10</t>
  </si>
  <si>
    <t>JHU-CI-289</t>
  </si>
  <si>
    <t>JHU-CI-293</t>
  </si>
  <si>
    <t>Evap CO2 HG</t>
  </si>
  <si>
    <t>26_Aug_10</t>
  </si>
  <si>
    <t>JHU-CI-295</t>
  </si>
  <si>
    <t>27_Aug_10</t>
  </si>
  <si>
    <t>JHU-CI-298</t>
  </si>
  <si>
    <t>JHU-CI-301</t>
  </si>
  <si>
    <t>28_Aug_10</t>
  </si>
  <si>
    <t>JHU-CI-303</t>
  </si>
  <si>
    <t>JHU-CI-306</t>
  </si>
  <si>
    <t>29_Aug_10</t>
  </si>
  <si>
    <t>JHU-CI-309</t>
  </si>
  <si>
    <t>30_Aug_10</t>
  </si>
  <si>
    <t>JHU-CI-315</t>
  </si>
  <si>
    <t>JHU-CI-317</t>
  </si>
  <si>
    <t>CN2004-BD-162r</t>
  </si>
  <si>
    <t>JHU-CI-318</t>
  </si>
  <si>
    <t>CN2004-BD-231r</t>
  </si>
  <si>
    <t>31_Aug_10</t>
  </si>
  <si>
    <t>JHU-CI-320</t>
  </si>
  <si>
    <t>JHU-CI-321</t>
  </si>
  <si>
    <t>CN2004-BD-70</t>
  </si>
  <si>
    <t>JHU-CI-322</t>
  </si>
  <si>
    <t>JHU-CI-323</t>
  </si>
  <si>
    <t>CN2004-BD-117r</t>
  </si>
  <si>
    <t>JHU-CI-324</t>
  </si>
  <si>
    <t>01_Sept_10</t>
  </si>
  <si>
    <t>JHU-CI-325</t>
  </si>
  <si>
    <t>JHU-CI-326</t>
  </si>
  <si>
    <t>JHU-CI-327</t>
  </si>
  <si>
    <t>JHU-CI-328</t>
  </si>
  <si>
    <t>JHU-CI-329</t>
  </si>
  <si>
    <t>CN2004-BS-117r</t>
  </si>
  <si>
    <t>JHU-CI-330</t>
  </si>
  <si>
    <t>JHU-CI-331</t>
  </si>
  <si>
    <t>02_Sept_10</t>
  </si>
  <si>
    <t>JHU-CI-332</t>
  </si>
  <si>
    <t>CN2005-BD-347</t>
  </si>
  <si>
    <t>JHU-CI-333</t>
  </si>
  <si>
    <t>CN2005-BD-395r</t>
  </si>
  <si>
    <t>JHU-CI-334</t>
  </si>
  <si>
    <t>JHU-CI-335</t>
  </si>
  <si>
    <t>CN2005-BD-385</t>
  </si>
  <si>
    <t>JHU-CI-336</t>
  </si>
  <si>
    <t>03_Sept_10</t>
  </si>
  <si>
    <t>JHU-CI-337</t>
  </si>
  <si>
    <t>CN2005-BD-371</t>
  </si>
  <si>
    <t>JHU-CI-338</t>
  </si>
  <si>
    <t>JHU-CI-339</t>
  </si>
  <si>
    <t>CN2005-BD-361</t>
  </si>
  <si>
    <t>JHU-CI-340</t>
  </si>
  <si>
    <t>JHU-CI-341</t>
  </si>
  <si>
    <t>Enriched CO2</t>
  </si>
  <si>
    <t>JHU-CI-342</t>
  </si>
  <si>
    <t>04_Sept_10</t>
  </si>
  <si>
    <t>JHU-CI-343</t>
  </si>
  <si>
    <t>JHU-CI-344</t>
  </si>
  <si>
    <t>JHU-CI-345</t>
  </si>
  <si>
    <t>JHU-CI-346</t>
  </si>
  <si>
    <t>JHU-CI-350</t>
  </si>
  <si>
    <t>JHU-CI-351</t>
  </si>
  <si>
    <t>JHU-CI-352</t>
  </si>
  <si>
    <t>JHU-CI-353</t>
  </si>
  <si>
    <t>JHU-CI-357</t>
  </si>
  <si>
    <t>JHU-CI-366</t>
  </si>
  <si>
    <t>JHU-CI-361</t>
  </si>
  <si>
    <t>JHU-CI-365</t>
  </si>
  <si>
    <t>JHU-CI-367</t>
  </si>
  <si>
    <t>JHU-CI-368</t>
  </si>
  <si>
    <t>JHU-CI-372</t>
  </si>
  <si>
    <t>JHU-CI-376</t>
  </si>
  <si>
    <t>JHU-CI-377</t>
  </si>
  <si>
    <t>JHU-CI-378</t>
  </si>
  <si>
    <t>JHU-CI-382</t>
  </si>
  <si>
    <t>JHU-CI-386</t>
  </si>
  <si>
    <t>Reg C02</t>
  </si>
  <si>
    <t>JHU-CI-388</t>
  </si>
  <si>
    <t>JHU-CI-393</t>
  </si>
  <si>
    <t>JHU-CI-396</t>
  </si>
  <si>
    <t>JHU-CI-403</t>
  </si>
  <si>
    <t>JHU-CI-402</t>
  </si>
  <si>
    <t>JHU-CI-405</t>
  </si>
  <si>
    <t>JHU-CI-414</t>
  </si>
  <si>
    <t>JHU-CI-422</t>
  </si>
  <si>
    <t>JHU-CI-406</t>
  </si>
  <si>
    <t>JHU-CI-424</t>
  </si>
  <si>
    <t>JHU-CI-420</t>
  </si>
  <si>
    <t>JHU-CI-428</t>
  </si>
  <si>
    <t>JHU-CI-430</t>
  </si>
  <si>
    <t>Note.  Sample unknowns for this study are highlighted in light green.  All other data are equilibrium gas standards used to normalize the data, and carbonate reference materials used to monitor accuracy and precision.</t>
  </si>
  <si>
    <t>* WG: working gas.  These are raw values relative to Oztech working gas with ÔÅ§13C = 3.60‚Ä∞ (PDB) and ÔÅ§18O = 24.97‚Ä∞ (SMOW).</t>
  </si>
  <si>
    <t>** ÔÅÑ47 values normalized to 25¬∞C reactions by addition of a 0.081‚Ä∞ temperature correction factor for 90¬∞C reactions (Passey et al., 2010).  These are the 'final'</t>
  </si>
  <si>
    <t>ÔÅÑ47 values utilized in this study.</t>
  </si>
  <si>
    <t>‚Ä†‚Ä† Long-term mean ÔÅÑ47 values of in-house carbonate standards developed at the California Institute of Technology.  See Passey et al. (2010), Table S5.</t>
  </si>
  <si>
    <t>2 equilibrated with water at low temperature (0 - 50¬∞C) and are low-temperature analogs of 'heated gases'.</t>
  </si>
  <si>
    <t>*** ÔÅÑ47 values reported on an 'equilibrium' scale based on theoretical equilibrium values of CO2, as described in Dennis et al. (in revision, Geochimica et Cosmochimica Acta).</t>
  </si>
  <si>
    <t>Latitude (¬∞ N)</t>
  </si>
  <si>
    <t>JJAS</t>
  </si>
  <si>
    <t>DJFM</t>
  </si>
  <si>
    <t>Anualn</t>
  </si>
  <si>
    <t>standard</t>
  </si>
  <si>
    <t>Heated_Gas</t>
  </si>
  <si>
    <t>Equilibrated_Gas</t>
  </si>
  <si>
    <t>21_Jan_10</t>
  </si>
  <si>
    <t>22_Jan_10</t>
  </si>
  <si>
    <t>23_Jan_10</t>
  </si>
  <si>
    <t>24_Jan_10</t>
  </si>
  <si>
    <t>25_Jan_10</t>
  </si>
  <si>
    <t>26_Jan_10</t>
  </si>
  <si>
    <t>27_Jan_10</t>
  </si>
  <si>
    <t>28_Jan_10</t>
  </si>
  <si>
    <t>29_Jan_10</t>
  </si>
  <si>
    <t>30_Jan_10</t>
  </si>
  <si>
    <t>4_Feb_10</t>
  </si>
  <si>
    <t>5_Feb_10</t>
  </si>
  <si>
    <t>7_Feb_10</t>
  </si>
  <si>
    <t>8_Feb_10</t>
  </si>
  <si>
    <t>9_Feb_10</t>
  </si>
  <si>
    <t>10_Feb_10</t>
  </si>
  <si>
    <t>22_Feb_10</t>
  </si>
  <si>
    <t>23_Feb_10</t>
  </si>
  <si>
    <t>24_Feb_10</t>
  </si>
  <si>
    <t>25_Feb_10</t>
  </si>
  <si>
    <t>26_Feb_10</t>
  </si>
  <si>
    <t>27_Feb_10</t>
  </si>
  <si>
    <t>28_Feb_10</t>
  </si>
  <si>
    <t>1_Mar_10</t>
  </si>
  <si>
    <t>2_Mar_10</t>
  </si>
  <si>
    <t>3_Mar_10</t>
  </si>
  <si>
    <t>4_Mar_10</t>
  </si>
  <si>
    <t xml:space="preserve">Type </t>
  </si>
  <si>
    <t>Date</t>
  </si>
  <si>
    <t>Sequence_No</t>
  </si>
  <si>
    <t>D47_wg</t>
  </si>
  <si>
    <t>D48_wg</t>
  </si>
  <si>
    <t>d48_wg</t>
  </si>
  <si>
    <t>d47_wg</t>
  </si>
  <si>
    <t>Modeled_Heated_Gas_Slope</t>
  </si>
  <si>
    <t>Modeled_Heated_Gas_Intercept</t>
  </si>
  <si>
    <t>D47_CDES</t>
  </si>
  <si>
    <t>D47_Ghosh</t>
  </si>
  <si>
    <t>D47_Ghosh_acid</t>
  </si>
  <si>
    <t>D47_accepted_std</t>
  </si>
  <si>
    <t>D48_CDES</t>
  </si>
  <si>
    <t>Modeled_Equilibrated_Gas_Slope</t>
  </si>
  <si>
    <t>Modeled_Equilibrated_Gas_Intercept</t>
  </si>
  <si>
    <t>D47_CDES_acid</t>
  </si>
  <si>
    <t>## Modeled time varying slope and intercept of 'Equilibrated_Gas line'. 'Equilibrated gases' are CO</t>
  </si>
  <si>
    <t>‚Ä† Modeled time varying slope and intercept of 'Heated_Gas line' (see Huntington et al., 2009, for description of Heated_Gas line concept).  Models are based on inverse modeling of Heated_Gas data, fit to the assumption that the Heated_Gas slope and intercept vary as 2nd order polynomial functions of sequence number.  See Passey et al., (2010) for a description of this m</t>
  </si>
  <si>
    <t>¬ß Values corrected for non-zero slope in Heated_Gas line.  See Huntington et al. (2009).</t>
  </si>
  <si>
    <t># ÔÅÑ47 values relative to the 'Ghosh' scale (Ghosh et al., 2006), as described in Huntington et al. (2009), using a canonical Heated_Gas intercept of 0.8453‚Ä∞.</t>
  </si>
  <si>
    <t>¬ß¬ß ÔÅÑ48 values normalized to modeled time varying ÔÅÑ48 Heated_Gas line.</t>
  </si>
  <si>
    <t xml:space="preserve">Standard </t>
  </si>
  <si>
    <t>11_May_10</t>
  </si>
  <si>
    <t>12_May_10</t>
  </si>
  <si>
    <t>27_May_10</t>
  </si>
  <si>
    <t>28_May_10</t>
  </si>
  <si>
    <t>26_May_10</t>
  </si>
  <si>
    <t>30_May_10</t>
  </si>
  <si>
    <t>02_June_10</t>
  </si>
  <si>
    <t>03_June_10</t>
  </si>
  <si>
    <t>04_June_10</t>
  </si>
  <si>
    <t>05_June_10</t>
  </si>
  <si>
    <t>06_June_10</t>
  </si>
  <si>
    <t>07_June_10</t>
  </si>
  <si>
    <t>09_June_10</t>
  </si>
  <si>
    <t>14_June_10</t>
  </si>
  <si>
    <t>15_June_10</t>
  </si>
  <si>
    <t>16_June_10</t>
  </si>
  <si>
    <t>17_June_10</t>
  </si>
  <si>
    <t>18_June_10</t>
  </si>
  <si>
    <t>19_June_10</t>
  </si>
  <si>
    <t>20_June_10</t>
  </si>
  <si>
    <t>21_June_10</t>
  </si>
  <si>
    <t>22_June_10</t>
  </si>
  <si>
    <t>23_June_10</t>
  </si>
  <si>
    <t>24_June_10</t>
  </si>
  <si>
    <t>25_June_10</t>
  </si>
  <si>
    <t>30_June_10</t>
  </si>
  <si>
    <t>01_Ju3_10</t>
  </si>
  <si>
    <t>06_Jul_10</t>
  </si>
  <si>
    <t>07_Jul_10</t>
  </si>
  <si>
    <t>08_Jul_10</t>
  </si>
  <si>
    <t>13_Aug_10</t>
  </si>
  <si>
    <t>05_Sept_10</t>
  </si>
  <si>
    <t>06_Sept_10</t>
  </si>
  <si>
    <t>07_Sept_10</t>
  </si>
  <si>
    <t>08_Sept_10</t>
  </si>
  <si>
    <t>09_Sept_10</t>
  </si>
  <si>
    <t>10_Sept_10</t>
  </si>
  <si>
    <t>11_Sept_10</t>
  </si>
  <si>
    <t>12_Sept_10</t>
  </si>
  <si>
    <t>13_Sept_10</t>
  </si>
  <si>
    <t>14_Sept_10</t>
  </si>
  <si>
    <t>15_Sept_10</t>
  </si>
  <si>
    <t>16_Sept_10</t>
  </si>
  <si>
    <t>17_Sept_10</t>
  </si>
  <si>
    <t>19_Sept_10</t>
  </si>
  <si>
    <t>20_Sept_10</t>
  </si>
  <si>
    <t>D47_CDES_90</t>
  </si>
  <si>
    <t>D47_linearity</t>
  </si>
  <si>
    <t>CN2004-BS-117</t>
  </si>
  <si>
    <t>CN2004-BD-395</t>
  </si>
  <si>
    <t>n</t>
  </si>
  <si>
    <t>D47</t>
  </si>
  <si>
    <t>D47_sd</t>
  </si>
  <si>
    <t>D47_se</t>
  </si>
  <si>
    <t>T</t>
  </si>
  <si>
    <t>T_se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</si>
</sst>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33" borderId="0" xfId="0" applyFill="1"/>
    <xf numFmtId="164" fontId="0" fillId="0" borderId="0" xfId="0" applyNumberFormat="1"/>
    <xf numFmtId="164" fontId="0" fillId="33" borderId="0" xfId="0" applyNumberFormat="1" applyFill="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7DC3A-F9D4-6847-8962-931804F0E1E3}">
  <dimension ref="A1:T399"/>
  <sheetViews>
    <sheetView workbookViewId="0">
      <pane ySplit="1" topLeftCell="A47" activePane="bottomLeft" state="frozen"/>
      <selection pane="bottomLeft" activeCell="J67" sqref="J67"/>
    </sheetView>
  </sheetViews>
  <sheetFormatPr baseColWidth="10" defaultRowHeight="16" x14ac:dyDescent="0.2"/>
  <cols>
    <col min="5" max="5" width="15.1640625" customWidth="1"/>
    <col min="12" max="12" width="10.83203125" style="2"/>
  </cols>
  <sheetData>
    <row r="1" spans="1:20" x14ac:dyDescent="0.2">
      <c r="A1" t="s">
        <v>610</v>
      </c>
      <c r="B1" t="s">
        <v>611</v>
      </c>
      <c r="C1" t="s">
        <v>612</v>
      </c>
      <c r="D1" t="s">
        <v>0</v>
      </c>
      <c r="E1" t="s">
        <v>1</v>
      </c>
      <c r="F1" t="s">
        <v>616</v>
      </c>
      <c r="G1" t="s">
        <v>613</v>
      </c>
      <c r="H1" t="s">
        <v>615</v>
      </c>
      <c r="I1" t="s">
        <v>614</v>
      </c>
      <c r="J1" t="s">
        <v>617</v>
      </c>
      <c r="K1" t="s">
        <v>618</v>
      </c>
      <c r="L1" s="2" t="s">
        <v>680</v>
      </c>
      <c r="M1" t="s">
        <v>620</v>
      </c>
      <c r="N1" t="s">
        <v>621</v>
      </c>
      <c r="O1" t="s">
        <v>622</v>
      </c>
      <c r="P1" t="s">
        <v>623</v>
      </c>
      <c r="Q1" t="s">
        <v>624</v>
      </c>
      <c r="R1" t="s">
        <v>625</v>
      </c>
      <c r="S1" t="s">
        <v>619</v>
      </c>
      <c r="T1" t="s">
        <v>626</v>
      </c>
    </row>
    <row r="2" spans="1:20" x14ac:dyDescent="0.2">
      <c r="A2" t="s">
        <v>3</v>
      </c>
    </row>
    <row r="3" spans="1:20" x14ac:dyDescent="0.2">
      <c r="A3" t="s">
        <v>581</v>
      </c>
      <c r="B3" t="s">
        <v>583</v>
      </c>
      <c r="C3">
        <v>148</v>
      </c>
      <c r="D3" t="s">
        <v>4</v>
      </c>
      <c r="E3" t="s">
        <v>2</v>
      </c>
      <c r="F3">
        <v>-0.442</v>
      </c>
      <c r="G3">
        <v>-0.82699999999999996</v>
      </c>
      <c r="H3">
        <v>5.0819999999999999</v>
      </c>
      <c r="I3">
        <v>0.65500000000000003</v>
      </c>
      <c r="J3">
        <v>-2E-3</v>
      </c>
      <c r="K3">
        <f>-0.832</f>
        <v>-0.83199999999999996</v>
      </c>
      <c r="L3" s="2">
        <v>-0.82799999999999996</v>
      </c>
      <c r="M3">
        <v>4.0000000000000001E-3</v>
      </c>
      <c r="P3">
        <v>-5.2999999999999999E-2</v>
      </c>
      <c r="Q3">
        <v>-1E-3</v>
      </c>
      <c r="R3">
        <v>2.1999999999999999E-2</v>
      </c>
      <c r="S3">
        <v>3.1E-2</v>
      </c>
    </row>
    <row r="4" spans="1:20" x14ac:dyDescent="0.2">
      <c r="A4" t="s">
        <v>106</v>
      </c>
      <c r="B4" t="s">
        <v>583</v>
      </c>
      <c r="C4">
        <v>152</v>
      </c>
      <c r="D4" t="s">
        <v>5</v>
      </c>
      <c r="E4" t="s">
        <v>6</v>
      </c>
      <c r="F4">
        <v>2.8370000000000002</v>
      </c>
      <c r="G4">
        <v>-0.27600000000000002</v>
      </c>
      <c r="H4">
        <v>-1.63</v>
      </c>
      <c r="I4">
        <v>0.16</v>
      </c>
      <c r="J4">
        <v>-2E-3</v>
      </c>
      <c r="K4">
        <f>-0.832</f>
        <v>-0.83199999999999996</v>
      </c>
      <c r="L4" s="2">
        <v>-0.27</v>
      </c>
      <c r="M4">
        <v>0.57099999999999995</v>
      </c>
      <c r="N4">
        <v>0.65200000000000002</v>
      </c>
      <c r="O4">
        <v>0.65</v>
      </c>
      <c r="P4">
        <v>-0.372</v>
      </c>
      <c r="Q4">
        <v>-1E-3</v>
      </c>
      <c r="R4">
        <v>2.1000000000000001E-2</v>
      </c>
      <c r="S4">
        <v>0.61199999999999999</v>
      </c>
      <c r="T4">
        <v>0.69299999999999995</v>
      </c>
    </row>
    <row r="5" spans="1:20" x14ac:dyDescent="0.2">
      <c r="A5" t="s">
        <v>581</v>
      </c>
      <c r="B5" t="s">
        <v>584</v>
      </c>
      <c r="C5">
        <v>155</v>
      </c>
      <c r="D5" t="s">
        <v>7</v>
      </c>
      <c r="E5" t="s">
        <v>2</v>
      </c>
      <c r="F5">
        <v>-0.66400000000000003</v>
      </c>
      <c r="G5">
        <v>-0.82499999999999996</v>
      </c>
      <c r="H5">
        <v>4.2679999999999998</v>
      </c>
      <c r="I5">
        <v>0.64900000000000002</v>
      </c>
      <c r="J5">
        <v>-2E-3</v>
      </c>
      <c r="K5">
        <f>-0.833</f>
        <v>-0.83299999999999996</v>
      </c>
      <c r="L5" s="2">
        <v>-0.82599999999999996</v>
      </c>
      <c r="M5">
        <v>6.0000000000000001E-3</v>
      </c>
      <c r="P5">
        <v>-4.1000000000000002E-2</v>
      </c>
      <c r="Q5">
        <v>-1E-3</v>
      </c>
      <c r="R5">
        <v>0.02</v>
      </c>
      <c r="S5">
        <v>3.3000000000000002E-2</v>
      </c>
    </row>
    <row r="6" spans="1:20" x14ac:dyDescent="0.2">
      <c r="A6" t="s">
        <v>106</v>
      </c>
      <c r="B6" t="s">
        <v>584</v>
      </c>
      <c r="C6">
        <v>160</v>
      </c>
      <c r="D6" t="s">
        <v>8</v>
      </c>
      <c r="E6" t="s">
        <v>6</v>
      </c>
      <c r="F6">
        <v>3.0089999999999999</v>
      </c>
      <c r="G6">
        <v>-0.26200000000000001</v>
      </c>
      <c r="H6">
        <v>-1.4490000000000001</v>
      </c>
      <c r="I6">
        <v>0.22600000000000001</v>
      </c>
      <c r="J6">
        <v>-2E-3</v>
      </c>
      <c r="K6">
        <f>-0.833</f>
        <v>-0.83299999999999996</v>
      </c>
      <c r="L6" s="2">
        <v>-0.25600000000000001</v>
      </c>
      <c r="M6">
        <v>0.58499999999999996</v>
      </c>
      <c r="N6">
        <v>0.66600000000000004</v>
      </c>
      <c r="O6">
        <v>0.65</v>
      </c>
      <c r="P6">
        <v>-0.30599999999999999</v>
      </c>
      <c r="Q6">
        <v>-1E-3</v>
      </c>
      <c r="R6">
        <v>1.9E-2</v>
      </c>
      <c r="S6">
        <v>0.628</v>
      </c>
      <c r="T6">
        <v>0.70899999999999996</v>
      </c>
    </row>
    <row r="7" spans="1:20" x14ac:dyDescent="0.2">
      <c r="A7" t="s">
        <v>581</v>
      </c>
      <c r="B7" t="s">
        <v>585</v>
      </c>
      <c r="C7">
        <v>162</v>
      </c>
      <c r="D7" t="s">
        <v>9</v>
      </c>
      <c r="E7" t="s">
        <v>2</v>
      </c>
      <c r="F7">
        <v>14.182</v>
      </c>
      <c r="G7">
        <v>-0.86199999999999999</v>
      </c>
      <c r="H7">
        <v>34.911999999999999</v>
      </c>
      <c r="I7">
        <v>1.593</v>
      </c>
      <c r="J7">
        <v>-2E-3</v>
      </c>
      <c r="K7">
        <f>-0.833</f>
        <v>-0.83299999999999996</v>
      </c>
      <c r="L7" s="2">
        <v>-0.83399999999999996</v>
      </c>
      <c r="M7">
        <v>-1E-3</v>
      </c>
      <c r="P7">
        <v>2.5999999999999999E-2</v>
      </c>
      <c r="Q7">
        <v>-1E-3</v>
      </c>
      <c r="R7">
        <v>1.9E-2</v>
      </c>
      <c r="S7">
        <v>2.5999999999999999E-2</v>
      </c>
    </row>
    <row r="8" spans="1:20" x14ac:dyDescent="0.2">
      <c r="A8" t="s">
        <v>581</v>
      </c>
      <c r="B8" t="s">
        <v>586</v>
      </c>
      <c r="C8">
        <v>170</v>
      </c>
      <c r="D8" t="s">
        <v>10</v>
      </c>
      <c r="E8" t="s">
        <v>2</v>
      </c>
      <c r="F8">
        <v>15.67</v>
      </c>
      <c r="G8">
        <v>-0.85099999999999998</v>
      </c>
      <c r="H8">
        <v>37.866999999999997</v>
      </c>
      <c r="I8">
        <v>1.8120000000000001</v>
      </c>
      <c r="J8">
        <v>-2E-3</v>
      </c>
      <c r="K8">
        <f>-0.833</f>
        <v>-0.83299999999999996</v>
      </c>
      <c r="L8" s="2">
        <v>-0.82099999999999995</v>
      </c>
      <c r="M8">
        <v>1.2E-2</v>
      </c>
      <c r="P8">
        <v>0.107</v>
      </c>
      <c r="Q8">
        <v>-1E-3</v>
      </c>
      <c r="R8">
        <v>1.7000000000000001E-2</v>
      </c>
      <c r="S8">
        <v>0.04</v>
      </c>
    </row>
    <row r="9" spans="1:20" x14ac:dyDescent="0.2">
      <c r="A9" t="s">
        <v>106</v>
      </c>
      <c r="B9" t="s">
        <v>587</v>
      </c>
      <c r="C9">
        <v>172</v>
      </c>
      <c r="D9" t="s">
        <v>11</v>
      </c>
      <c r="E9" t="s">
        <v>12</v>
      </c>
      <c r="F9">
        <v>17.32</v>
      </c>
      <c r="G9">
        <v>-0.59299999999999997</v>
      </c>
      <c r="H9">
        <v>25.067</v>
      </c>
      <c r="I9">
        <v>1.357</v>
      </c>
      <c r="J9">
        <v>-2E-3</v>
      </c>
      <c r="K9">
        <f>-0.833</f>
        <v>-0.83299999999999996</v>
      </c>
      <c r="L9" s="2">
        <v>-0.56000000000000005</v>
      </c>
      <c r="M9">
        <v>0.27700000000000002</v>
      </c>
      <c r="N9">
        <v>0.35799999999999998</v>
      </c>
      <c r="O9">
        <v>0.35199999999999998</v>
      </c>
      <c r="P9">
        <v>2.5999999999999999E-2</v>
      </c>
      <c r="Q9">
        <v>-1E-3</v>
      </c>
      <c r="R9">
        <v>1.6E-2</v>
      </c>
      <c r="S9">
        <v>0.312</v>
      </c>
      <c r="T9">
        <v>0.39300000000000002</v>
      </c>
    </row>
    <row r="10" spans="1:20" x14ac:dyDescent="0.2">
      <c r="A10" t="s">
        <v>581</v>
      </c>
      <c r="B10" t="s">
        <v>588</v>
      </c>
      <c r="C10">
        <v>181</v>
      </c>
      <c r="D10" t="s">
        <v>13</v>
      </c>
      <c r="E10" t="s">
        <v>2</v>
      </c>
      <c r="F10">
        <v>15.207000000000001</v>
      </c>
      <c r="G10">
        <v>-0.86399999999999999</v>
      </c>
      <c r="H10">
        <v>36.832999999999998</v>
      </c>
      <c r="I10">
        <v>1.796</v>
      </c>
      <c r="J10">
        <v>-2E-3</v>
      </c>
      <c r="K10">
        <f>-0.834</f>
        <v>-0.83399999999999996</v>
      </c>
      <c r="L10" s="2">
        <v>-0.83699999999999997</v>
      </c>
      <c r="M10">
        <v>-3.0000000000000001E-3</v>
      </c>
      <c r="P10">
        <v>3.5999999999999997E-2</v>
      </c>
      <c r="Q10">
        <v>-1E-3</v>
      </c>
      <c r="R10">
        <v>1.4E-2</v>
      </c>
      <c r="S10">
        <v>2.4E-2</v>
      </c>
    </row>
    <row r="11" spans="1:20" x14ac:dyDescent="0.2">
      <c r="A11" t="s">
        <v>581</v>
      </c>
      <c r="B11" t="s">
        <v>589</v>
      </c>
      <c r="C11">
        <v>186</v>
      </c>
      <c r="D11" t="s">
        <v>14</v>
      </c>
      <c r="E11" t="s">
        <v>15</v>
      </c>
      <c r="F11">
        <v>14.301</v>
      </c>
      <c r="G11">
        <v>-0.88200000000000001</v>
      </c>
      <c r="H11">
        <v>35.926000000000002</v>
      </c>
      <c r="I11">
        <v>1.772</v>
      </c>
      <c r="J11">
        <v>-2E-3</v>
      </c>
      <c r="K11">
        <f>-0.834</f>
        <v>-0.83399999999999996</v>
      </c>
      <c r="L11" s="2">
        <v>-0.85699999999999998</v>
      </c>
      <c r="M11">
        <v>-2.3E-2</v>
      </c>
      <c r="P11">
        <v>2E-3</v>
      </c>
      <c r="Q11">
        <v>-1E-3</v>
      </c>
      <c r="R11">
        <v>1.2999999999999999E-2</v>
      </c>
      <c r="S11">
        <v>3.0000000000000001E-3</v>
      </c>
    </row>
    <row r="12" spans="1:20" x14ac:dyDescent="0.2">
      <c r="A12" t="s">
        <v>106</v>
      </c>
      <c r="B12" t="s">
        <v>590</v>
      </c>
      <c r="C12">
        <v>188</v>
      </c>
      <c r="D12" t="s">
        <v>16</v>
      </c>
      <c r="E12" t="s">
        <v>12</v>
      </c>
      <c r="F12">
        <v>17.236000000000001</v>
      </c>
      <c r="G12">
        <v>-0.58399999999999996</v>
      </c>
      <c r="H12">
        <v>25.007999999999999</v>
      </c>
      <c r="I12">
        <v>1.385</v>
      </c>
      <c r="J12">
        <v>-2E-3</v>
      </c>
      <c r="K12">
        <f>-0.834</f>
        <v>-0.83399999999999996</v>
      </c>
      <c r="L12" s="2">
        <v>-0.55400000000000005</v>
      </c>
      <c r="M12">
        <v>0.28399999999999997</v>
      </c>
      <c r="N12">
        <v>0.36499999999999999</v>
      </c>
      <c r="O12">
        <v>0.35199999999999998</v>
      </c>
      <c r="P12">
        <v>-0.03</v>
      </c>
      <c r="Q12">
        <v>-1E-3</v>
      </c>
      <c r="R12">
        <v>1.2999999999999999E-2</v>
      </c>
      <c r="S12">
        <v>0.32100000000000001</v>
      </c>
      <c r="T12">
        <v>0.40200000000000002</v>
      </c>
    </row>
    <row r="13" spans="1:20" x14ac:dyDescent="0.2">
      <c r="A13" t="s">
        <v>581</v>
      </c>
      <c r="B13" t="s">
        <v>590</v>
      </c>
      <c r="C13">
        <v>191</v>
      </c>
      <c r="D13" t="s">
        <v>17</v>
      </c>
      <c r="E13" t="s">
        <v>18</v>
      </c>
      <c r="F13">
        <v>-2.4E-2</v>
      </c>
      <c r="G13">
        <v>-0.84799999999999998</v>
      </c>
      <c r="H13">
        <v>5.4340000000000002</v>
      </c>
      <c r="I13">
        <v>0.85599999999999998</v>
      </c>
      <c r="J13">
        <v>-2E-3</v>
      </c>
      <c r="K13">
        <f>-0.835</f>
        <v>-0.83499999999999996</v>
      </c>
      <c r="L13" s="2">
        <v>-0.84799999999999998</v>
      </c>
      <c r="M13">
        <v>-1.4E-2</v>
      </c>
      <c r="P13">
        <v>0.10299999999999999</v>
      </c>
      <c r="Q13">
        <v>-1E-3</v>
      </c>
      <c r="R13">
        <v>1.2E-2</v>
      </c>
      <c r="S13">
        <v>1.2999999999999999E-2</v>
      </c>
    </row>
    <row r="14" spans="1:20" x14ac:dyDescent="0.2">
      <c r="A14" t="s">
        <v>106</v>
      </c>
      <c r="B14" t="s">
        <v>591</v>
      </c>
      <c r="C14">
        <v>196</v>
      </c>
      <c r="D14" t="s">
        <v>19</v>
      </c>
      <c r="E14" t="s">
        <v>12</v>
      </c>
      <c r="F14">
        <v>17.091000000000001</v>
      </c>
      <c r="G14">
        <v>-0.58099999999999996</v>
      </c>
      <c r="H14">
        <v>24.669</v>
      </c>
      <c r="I14">
        <v>1.2390000000000001</v>
      </c>
      <c r="J14">
        <v>-2E-3</v>
      </c>
      <c r="K14">
        <f>-0.835</f>
        <v>-0.83499999999999996</v>
      </c>
      <c r="L14" s="2">
        <v>-0.55300000000000005</v>
      </c>
      <c r="M14">
        <v>0.28499999999999998</v>
      </c>
      <c r="N14">
        <v>0.36599999999999999</v>
      </c>
      <c r="O14">
        <v>0.35199999999999998</v>
      </c>
      <c r="P14">
        <v>-0.20899999999999999</v>
      </c>
      <c r="Q14">
        <v>-1E-3</v>
      </c>
      <c r="R14">
        <v>1.0999999999999999E-2</v>
      </c>
      <c r="S14">
        <v>0.32300000000000001</v>
      </c>
      <c r="T14">
        <v>0.40400000000000003</v>
      </c>
    </row>
    <row r="15" spans="1:20" x14ac:dyDescent="0.2">
      <c r="A15" t="s">
        <v>581</v>
      </c>
      <c r="B15" t="s">
        <v>592</v>
      </c>
      <c r="C15">
        <v>197</v>
      </c>
      <c r="D15" t="s">
        <v>20</v>
      </c>
      <c r="E15" t="s">
        <v>21</v>
      </c>
      <c r="F15">
        <v>0.10299999999999999</v>
      </c>
      <c r="G15">
        <v>-0.84599999999999997</v>
      </c>
      <c r="H15">
        <v>5.4690000000000003</v>
      </c>
      <c r="I15">
        <v>0.748</v>
      </c>
      <c r="J15">
        <v>-2E-3</v>
      </c>
      <c r="K15">
        <f>-0.835</f>
        <v>-0.83499999999999996</v>
      </c>
      <c r="L15" s="2">
        <v>-0.84599999999999997</v>
      </c>
      <c r="M15">
        <v>-1.0999999999999999E-2</v>
      </c>
      <c r="P15">
        <v>-1.2E-2</v>
      </c>
      <c r="Q15">
        <v>-1E-3</v>
      </c>
      <c r="R15">
        <v>1.0999999999999999E-2</v>
      </c>
      <c r="S15">
        <v>1.6E-2</v>
      </c>
    </row>
    <row r="16" spans="1:20" x14ac:dyDescent="0.2">
      <c r="A16" t="s">
        <v>582</v>
      </c>
      <c r="B16" t="s">
        <v>592</v>
      </c>
      <c r="C16">
        <v>198</v>
      </c>
      <c r="D16" t="s">
        <v>22</v>
      </c>
      <c r="E16" t="s">
        <v>23</v>
      </c>
      <c r="F16">
        <v>-2.323</v>
      </c>
      <c r="G16">
        <v>1E-3</v>
      </c>
      <c r="H16">
        <v>-0.52200000000000002</v>
      </c>
      <c r="I16">
        <v>1E-3</v>
      </c>
      <c r="J16">
        <v>-2E-3</v>
      </c>
      <c r="K16">
        <f>-0.835</f>
        <v>-0.83499999999999996</v>
      </c>
      <c r="L16" s="2">
        <v>-3.0000000000000001E-3</v>
      </c>
      <c r="M16">
        <v>0.84299999999999997</v>
      </c>
      <c r="P16">
        <v>-0.54200000000000004</v>
      </c>
      <c r="Q16">
        <v>-1E-3</v>
      </c>
      <c r="R16">
        <v>1.0999999999999999E-2</v>
      </c>
      <c r="S16">
        <v>0.90100000000000002</v>
      </c>
    </row>
    <row r="17" spans="1:20" x14ac:dyDescent="0.2">
      <c r="A17" t="s">
        <v>582</v>
      </c>
      <c r="B17" t="s">
        <v>592</v>
      </c>
      <c r="C17">
        <v>199</v>
      </c>
      <c r="D17" t="s">
        <v>24</v>
      </c>
      <c r="E17" t="s">
        <v>25</v>
      </c>
      <c r="F17">
        <v>16.472999999999999</v>
      </c>
      <c r="G17">
        <v>4.0000000000000001E-3</v>
      </c>
      <c r="H17">
        <v>38.313000000000002</v>
      </c>
      <c r="I17">
        <v>1.397</v>
      </c>
      <c r="J17">
        <v>-2E-3</v>
      </c>
      <c r="K17">
        <v>-0.83499999999999996</v>
      </c>
      <c r="L17" s="2">
        <v>0.03</v>
      </c>
      <c r="M17">
        <v>0.876</v>
      </c>
      <c r="P17">
        <v>-0.56899999999999995</v>
      </c>
      <c r="Q17">
        <v>-1E-3</v>
      </c>
      <c r="R17">
        <v>1.0999999999999999E-2</v>
      </c>
      <c r="S17">
        <v>0.93600000000000005</v>
      </c>
    </row>
    <row r="18" spans="1:20" x14ac:dyDescent="0.2">
      <c r="A18" t="s">
        <v>581</v>
      </c>
      <c r="B18" t="s">
        <v>592</v>
      </c>
      <c r="C18">
        <v>200</v>
      </c>
      <c r="D18" t="s">
        <v>26</v>
      </c>
      <c r="E18" t="s">
        <v>27</v>
      </c>
      <c r="F18">
        <v>-3.3690000000000002</v>
      </c>
      <c r="G18">
        <v>-0.84599999999999997</v>
      </c>
      <c r="H18">
        <v>8.8759999999999994</v>
      </c>
      <c r="I18">
        <v>0.83899999999999997</v>
      </c>
      <c r="J18">
        <v>-2E-3</v>
      </c>
      <c r="K18">
        <f>-0.835</f>
        <v>-0.83499999999999996</v>
      </c>
      <c r="L18" s="2">
        <v>-0.85099999999999998</v>
      </c>
      <c r="M18">
        <v>-1.6E-2</v>
      </c>
      <c r="P18">
        <v>-0.05</v>
      </c>
      <c r="Q18">
        <v>-1E-3</v>
      </c>
      <c r="R18">
        <v>0.01</v>
      </c>
      <c r="S18">
        <v>0.01</v>
      </c>
    </row>
    <row r="19" spans="1:20" x14ac:dyDescent="0.2">
      <c r="A19" t="s">
        <v>582</v>
      </c>
      <c r="B19" t="s">
        <v>592</v>
      </c>
      <c r="C19">
        <v>201</v>
      </c>
      <c r="D19" t="s">
        <v>28</v>
      </c>
      <c r="E19" t="s">
        <v>29</v>
      </c>
      <c r="F19">
        <v>-2.177</v>
      </c>
      <c r="G19">
        <v>1E-3</v>
      </c>
      <c r="H19">
        <v>-0.38400000000000001</v>
      </c>
      <c r="I19">
        <v>-0.14899999999999999</v>
      </c>
      <c r="J19">
        <v>-2E-3</v>
      </c>
      <c r="K19">
        <f>-0.835</f>
        <v>-0.83499999999999996</v>
      </c>
      <c r="L19" s="2">
        <v>-2E-3</v>
      </c>
      <c r="M19">
        <v>0.84299999999999997</v>
      </c>
      <c r="P19">
        <v>-0.69599999999999995</v>
      </c>
      <c r="Q19">
        <v>-1E-3</v>
      </c>
      <c r="R19">
        <v>0.01</v>
      </c>
      <c r="S19">
        <v>0.90200000000000002</v>
      </c>
    </row>
    <row r="20" spans="1:20" x14ac:dyDescent="0.2">
      <c r="A20" t="s">
        <v>581</v>
      </c>
      <c r="B20" t="s">
        <v>592</v>
      </c>
      <c r="C20">
        <v>202</v>
      </c>
      <c r="D20" t="s">
        <v>30</v>
      </c>
      <c r="E20" t="s">
        <v>31</v>
      </c>
      <c r="F20">
        <v>-2.419</v>
      </c>
      <c r="G20">
        <v>-0.84799999999999998</v>
      </c>
      <c r="H20">
        <v>10.516</v>
      </c>
      <c r="I20">
        <v>0.8</v>
      </c>
      <c r="J20">
        <v>-2E-3</v>
      </c>
      <c r="K20">
        <f>-0.835</f>
        <v>-0.83499999999999996</v>
      </c>
      <c r="L20" s="2">
        <v>-0.85199999999999998</v>
      </c>
      <c r="M20">
        <v>-1.7000000000000001E-2</v>
      </c>
      <c r="P20">
        <v>-0.154</v>
      </c>
      <c r="Q20">
        <v>-1E-3</v>
      </c>
      <c r="R20">
        <v>0.01</v>
      </c>
      <c r="S20">
        <v>0.01</v>
      </c>
    </row>
    <row r="21" spans="1:20" x14ac:dyDescent="0.2">
      <c r="A21" t="s">
        <v>582</v>
      </c>
      <c r="B21" t="s">
        <v>592</v>
      </c>
      <c r="C21">
        <v>203</v>
      </c>
      <c r="D21" t="s">
        <v>32</v>
      </c>
      <c r="E21" t="s">
        <v>33</v>
      </c>
      <c r="F21">
        <v>16.513999999999999</v>
      </c>
      <c r="G21">
        <v>4.0000000000000001E-3</v>
      </c>
      <c r="H21">
        <v>38.276000000000003</v>
      </c>
      <c r="I21">
        <v>1.2949999999999999</v>
      </c>
      <c r="J21">
        <v>-2E-3</v>
      </c>
      <c r="K21">
        <v>-0.83499999999999996</v>
      </c>
      <c r="L21" s="2">
        <v>0.03</v>
      </c>
      <c r="M21">
        <v>0.876</v>
      </c>
      <c r="P21">
        <v>-0.70599999999999996</v>
      </c>
      <c r="Q21">
        <v>-1E-3</v>
      </c>
      <c r="R21">
        <v>0.01</v>
      </c>
      <c r="S21">
        <v>0.93600000000000005</v>
      </c>
    </row>
    <row r="22" spans="1:20" x14ac:dyDescent="0.2">
      <c r="A22" t="s">
        <v>581</v>
      </c>
      <c r="B22" t="s">
        <v>592</v>
      </c>
      <c r="C22">
        <v>204</v>
      </c>
      <c r="D22" t="s">
        <v>34</v>
      </c>
      <c r="E22" t="s">
        <v>31</v>
      </c>
      <c r="F22">
        <v>21.593</v>
      </c>
      <c r="G22">
        <v>-0.86399999999999999</v>
      </c>
      <c r="H22">
        <v>61.058</v>
      </c>
      <c r="I22">
        <v>2.7360000000000002</v>
      </c>
      <c r="J22">
        <v>-2E-3</v>
      </c>
      <c r="K22">
        <f>-0.835</f>
        <v>-0.83499999999999996</v>
      </c>
      <c r="L22" s="2">
        <v>-0.83</v>
      </c>
      <c r="M22">
        <v>5.0000000000000001E-3</v>
      </c>
      <c r="P22">
        <v>-0.13800000000000001</v>
      </c>
      <c r="Q22">
        <v>-1E-3</v>
      </c>
      <c r="R22">
        <v>8.9999999999999993E-3</v>
      </c>
      <c r="S22">
        <v>3.2000000000000001E-2</v>
      </c>
    </row>
    <row r="23" spans="1:20" x14ac:dyDescent="0.2">
      <c r="A23" t="s">
        <v>582</v>
      </c>
      <c r="B23" t="s">
        <v>593</v>
      </c>
      <c r="C23">
        <v>208</v>
      </c>
      <c r="D23" t="s">
        <v>35</v>
      </c>
      <c r="E23" t="s">
        <v>33</v>
      </c>
      <c r="F23">
        <v>16.411999999999999</v>
      </c>
      <c r="G23">
        <v>-7.0000000000000001E-3</v>
      </c>
      <c r="H23">
        <v>38.088000000000001</v>
      </c>
      <c r="I23">
        <v>1.286</v>
      </c>
      <c r="J23">
        <v>-2E-3</v>
      </c>
      <c r="K23">
        <v>-0.83599999999999997</v>
      </c>
      <c r="L23" s="2">
        <v>1.7999999999999999E-2</v>
      </c>
      <c r="M23">
        <v>0.86299999999999999</v>
      </c>
      <c r="P23">
        <v>-0.75600000000000001</v>
      </c>
      <c r="Q23">
        <v>-1E-3</v>
      </c>
      <c r="R23">
        <v>8.9999999999999993E-3</v>
      </c>
      <c r="S23">
        <v>0.92400000000000004</v>
      </c>
    </row>
    <row r="24" spans="1:20" x14ac:dyDescent="0.2">
      <c r="A24" t="s">
        <v>580</v>
      </c>
      <c r="B24" t="s">
        <v>593</v>
      </c>
      <c r="C24">
        <v>209</v>
      </c>
      <c r="D24" t="s">
        <v>36</v>
      </c>
      <c r="E24" t="s">
        <v>37</v>
      </c>
      <c r="F24">
        <v>16.832999999999998</v>
      </c>
      <c r="G24">
        <v>-0.57399999999999995</v>
      </c>
      <c r="H24">
        <v>24.288</v>
      </c>
      <c r="I24">
        <v>1.3</v>
      </c>
      <c r="J24">
        <v>-1E-3</v>
      </c>
      <c r="K24">
        <f>-0.836</f>
        <v>-0.83599999999999997</v>
      </c>
      <c r="L24" s="2">
        <v>-0.54900000000000004</v>
      </c>
      <c r="M24">
        <v>0.28999999999999998</v>
      </c>
      <c r="N24">
        <v>0.371</v>
      </c>
      <c r="O24">
        <v>0.35199999999999998</v>
      </c>
      <c r="P24">
        <v>-0.21099999999999999</v>
      </c>
      <c r="Q24">
        <v>-1E-3</v>
      </c>
      <c r="R24">
        <v>8.0000000000000002E-3</v>
      </c>
      <c r="S24">
        <v>0.32900000000000001</v>
      </c>
      <c r="T24">
        <v>0.41</v>
      </c>
    </row>
    <row r="25" spans="1:20" x14ac:dyDescent="0.2">
      <c r="A25" t="s">
        <v>581</v>
      </c>
      <c r="B25" t="s">
        <v>594</v>
      </c>
      <c r="C25">
        <v>212</v>
      </c>
      <c r="D25" t="s">
        <v>38</v>
      </c>
      <c r="E25" t="s">
        <v>39</v>
      </c>
      <c r="F25">
        <v>-0.51500000000000001</v>
      </c>
      <c r="G25">
        <v>-0.85499999999999998</v>
      </c>
      <c r="H25">
        <v>4.7069999999999999</v>
      </c>
      <c r="I25">
        <v>0.79300000000000004</v>
      </c>
      <c r="J25">
        <v>-1E-3</v>
      </c>
      <c r="K25">
        <f>-0.836</f>
        <v>-0.83599999999999997</v>
      </c>
      <c r="L25" s="2">
        <v>-0.85599999999999998</v>
      </c>
      <c r="M25">
        <v>-0.02</v>
      </c>
      <c r="P25">
        <v>4.5999999999999999E-2</v>
      </c>
      <c r="Q25">
        <v>-1E-3</v>
      </c>
      <c r="R25">
        <v>8.0000000000000002E-3</v>
      </c>
      <c r="S25">
        <v>6.0000000000000001E-3</v>
      </c>
    </row>
    <row r="26" spans="1:20" x14ac:dyDescent="0.2">
      <c r="A26" t="s">
        <v>106</v>
      </c>
      <c r="B26" t="s">
        <v>595</v>
      </c>
      <c r="C26">
        <v>216</v>
      </c>
      <c r="D26" t="s">
        <v>40</v>
      </c>
      <c r="E26" t="s">
        <v>12</v>
      </c>
      <c r="F26">
        <v>17.306000000000001</v>
      </c>
      <c r="G26">
        <v>-0.57999999999999996</v>
      </c>
      <c r="H26">
        <v>25.03</v>
      </c>
      <c r="I26">
        <v>1.3380000000000001</v>
      </c>
      <c r="J26">
        <v>-1E-3</v>
      </c>
      <c r="K26">
        <f>-0.836</f>
        <v>-0.83599999999999997</v>
      </c>
      <c r="L26" s="2">
        <v>-0.55500000000000005</v>
      </c>
      <c r="M26">
        <v>0.28399999999999997</v>
      </c>
      <c r="N26">
        <v>0.36499999999999999</v>
      </c>
      <c r="O26">
        <v>0.35199999999999998</v>
      </c>
      <c r="P26">
        <v>-0.246</v>
      </c>
      <c r="Q26">
        <v>-1E-3</v>
      </c>
      <c r="R26">
        <v>7.0000000000000001E-3</v>
      </c>
      <c r="S26">
        <v>0.32200000000000001</v>
      </c>
      <c r="T26">
        <v>0.40300000000000002</v>
      </c>
    </row>
    <row r="27" spans="1:20" x14ac:dyDescent="0.2">
      <c r="A27" t="s">
        <v>582</v>
      </c>
      <c r="B27" t="s">
        <v>595</v>
      </c>
      <c r="C27">
        <v>217</v>
      </c>
      <c r="D27" t="s">
        <v>41</v>
      </c>
      <c r="E27" t="s">
        <v>42</v>
      </c>
      <c r="F27">
        <v>6.3410000000000002</v>
      </c>
      <c r="G27">
        <v>0.13500000000000001</v>
      </c>
      <c r="H27">
        <v>-4.1399999999999997</v>
      </c>
      <c r="I27">
        <v>-0.254</v>
      </c>
      <c r="J27">
        <v>-1E-3</v>
      </c>
      <c r="K27">
        <v>-0.83599999999999997</v>
      </c>
      <c r="L27" s="2">
        <v>0.14399999999999999</v>
      </c>
      <c r="M27">
        <v>0.99099999999999999</v>
      </c>
      <c r="P27">
        <v>-0.64100000000000001</v>
      </c>
      <c r="Q27">
        <v>-1E-3</v>
      </c>
      <c r="R27">
        <v>7.0000000000000001E-3</v>
      </c>
      <c r="S27">
        <v>1.0589999999999999</v>
      </c>
    </row>
    <row r="28" spans="1:20" x14ac:dyDescent="0.2">
      <c r="A28" t="s">
        <v>581</v>
      </c>
      <c r="B28" t="s">
        <v>595</v>
      </c>
      <c r="C28">
        <v>219</v>
      </c>
      <c r="D28" t="s">
        <v>43</v>
      </c>
      <c r="E28" t="s">
        <v>44</v>
      </c>
      <c r="F28">
        <v>0.437</v>
      </c>
      <c r="G28">
        <v>-0.80800000000000005</v>
      </c>
      <c r="H28">
        <v>6.4409999999999998</v>
      </c>
      <c r="I28">
        <v>0.74099999999999999</v>
      </c>
      <c r="J28">
        <v>-1E-3</v>
      </c>
      <c r="K28">
        <f>-0.836</f>
        <v>-0.83599999999999997</v>
      </c>
      <c r="L28" s="2">
        <v>-0.80700000000000005</v>
      </c>
      <c r="M28">
        <v>2.9000000000000001E-2</v>
      </c>
      <c r="P28">
        <v>-8.5999999999999993E-2</v>
      </c>
      <c r="Q28">
        <v>0</v>
      </c>
      <c r="R28">
        <v>7.0000000000000001E-3</v>
      </c>
      <c r="S28">
        <v>5.7000000000000002E-2</v>
      </c>
    </row>
    <row r="29" spans="1:20" x14ac:dyDescent="0.2">
      <c r="A29" t="s">
        <v>580</v>
      </c>
      <c r="B29" t="s">
        <v>596</v>
      </c>
      <c r="C29">
        <v>222</v>
      </c>
      <c r="D29" t="s">
        <v>45</v>
      </c>
      <c r="E29" t="s">
        <v>6</v>
      </c>
      <c r="F29">
        <v>3.0459999999999998</v>
      </c>
      <c r="G29">
        <v>-0.26400000000000001</v>
      </c>
      <c r="H29">
        <v>-1.4359999999999999</v>
      </c>
      <c r="I29">
        <v>0.106</v>
      </c>
      <c r="J29">
        <v>-1E-3</v>
      </c>
      <c r="K29">
        <f>-0.836</f>
        <v>-0.83599999999999997</v>
      </c>
      <c r="L29" s="2">
        <v>-0.26</v>
      </c>
      <c r="M29">
        <v>0.58299999999999996</v>
      </c>
      <c r="N29">
        <v>0.66400000000000003</v>
      </c>
      <c r="O29">
        <v>0.65</v>
      </c>
      <c r="P29">
        <v>-0.39</v>
      </c>
      <c r="Q29">
        <v>0</v>
      </c>
      <c r="R29">
        <v>6.0000000000000001E-3</v>
      </c>
      <c r="S29">
        <v>0.63500000000000001</v>
      </c>
      <c r="T29">
        <v>0.71599999999999997</v>
      </c>
    </row>
    <row r="30" spans="1:20" x14ac:dyDescent="0.2">
      <c r="A30" t="s">
        <v>582</v>
      </c>
      <c r="B30" t="s">
        <v>596</v>
      </c>
      <c r="C30">
        <v>223</v>
      </c>
      <c r="D30" t="s">
        <v>46</v>
      </c>
      <c r="E30" t="s">
        <v>33</v>
      </c>
      <c r="F30">
        <v>16.457999999999998</v>
      </c>
      <c r="G30">
        <v>-5.0000000000000001E-3</v>
      </c>
      <c r="H30">
        <v>38.451999999999998</v>
      </c>
      <c r="I30">
        <v>1.5580000000000001</v>
      </c>
      <c r="J30">
        <v>-1E-3</v>
      </c>
      <c r="K30">
        <v>-0.83699999999999997</v>
      </c>
      <c r="L30" s="2">
        <v>1.7000000000000001E-2</v>
      </c>
      <c r="M30">
        <v>0.86199999999999999</v>
      </c>
      <c r="P30">
        <v>-0.64800000000000002</v>
      </c>
      <c r="Q30">
        <v>0</v>
      </c>
      <c r="R30">
        <v>6.0000000000000001E-3</v>
      </c>
      <c r="S30">
        <v>0.92700000000000005</v>
      </c>
    </row>
    <row r="31" spans="1:20" x14ac:dyDescent="0.2">
      <c r="A31" t="s">
        <v>106</v>
      </c>
      <c r="B31" t="s">
        <v>597</v>
      </c>
      <c r="C31">
        <v>225</v>
      </c>
      <c r="D31" t="s">
        <v>47</v>
      </c>
      <c r="E31" t="s">
        <v>37</v>
      </c>
      <c r="F31">
        <v>16.817</v>
      </c>
      <c r="G31">
        <v>-0.59699999999999998</v>
      </c>
      <c r="H31">
        <v>24.611999999999998</v>
      </c>
      <c r="I31">
        <v>1.617</v>
      </c>
      <c r="J31">
        <v>-1E-3</v>
      </c>
      <c r="K31">
        <f>-0.837</f>
        <v>-0.83699999999999997</v>
      </c>
      <c r="L31" s="2">
        <v>-0.57499999999999996</v>
      </c>
      <c r="M31">
        <v>0.26400000000000001</v>
      </c>
      <c r="N31">
        <v>0.34499999999999997</v>
      </c>
      <c r="O31">
        <v>0.35199999999999998</v>
      </c>
      <c r="P31">
        <v>-8.0000000000000002E-3</v>
      </c>
      <c r="Q31">
        <v>0</v>
      </c>
      <c r="R31">
        <v>5.0000000000000001E-3</v>
      </c>
      <c r="S31">
        <v>0.30299999999999999</v>
      </c>
      <c r="T31">
        <v>0.38400000000000001</v>
      </c>
    </row>
    <row r="32" spans="1:20" x14ac:dyDescent="0.2">
      <c r="A32" t="s">
        <v>581</v>
      </c>
      <c r="B32" t="s">
        <v>597</v>
      </c>
      <c r="C32">
        <v>226</v>
      </c>
      <c r="D32" t="s">
        <v>48</v>
      </c>
      <c r="E32" t="s">
        <v>49</v>
      </c>
      <c r="F32">
        <v>15.478999999999999</v>
      </c>
      <c r="G32">
        <v>-0.84199999999999997</v>
      </c>
      <c r="H32">
        <v>38.085999999999999</v>
      </c>
      <c r="I32">
        <v>2.2970000000000002</v>
      </c>
      <c r="J32">
        <v>-1E-3</v>
      </c>
      <c r="K32">
        <f>-0.837</f>
        <v>-0.83699999999999997</v>
      </c>
      <c r="L32" s="2">
        <v>-0.82199999999999995</v>
      </c>
      <c r="M32">
        <v>1.4999999999999999E-2</v>
      </c>
      <c r="P32">
        <v>7.5999999999999998E-2</v>
      </c>
      <c r="Q32">
        <v>0</v>
      </c>
      <c r="R32">
        <v>5.0000000000000001E-3</v>
      </c>
      <c r="S32">
        <v>4.2999999999999997E-2</v>
      </c>
    </row>
    <row r="33" spans="1:20" x14ac:dyDescent="0.2">
      <c r="A33" t="s">
        <v>106</v>
      </c>
      <c r="B33" t="s">
        <v>597</v>
      </c>
      <c r="C33">
        <v>228</v>
      </c>
      <c r="D33" t="s">
        <v>50</v>
      </c>
      <c r="E33" t="s">
        <v>12</v>
      </c>
      <c r="F33">
        <v>17.353000000000002</v>
      </c>
      <c r="G33">
        <v>-0.58099999999999996</v>
      </c>
      <c r="H33">
        <v>25.413</v>
      </c>
      <c r="I33">
        <v>1.6259999999999999</v>
      </c>
      <c r="J33">
        <v>-1E-3</v>
      </c>
      <c r="K33">
        <f>-0.837</f>
        <v>-0.83699999999999997</v>
      </c>
      <c r="L33" s="2">
        <v>-0.55900000000000005</v>
      </c>
      <c r="M33">
        <v>0.28100000000000003</v>
      </c>
      <c r="N33">
        <v>0.36199999999999999</v>
      </c>
      <c r="O33">
        <v>0.35199999999999998</v>
      </c>
      <c r="P33">
        <v>-5.5E-2</v>
      </c>
      <c r="Q33">
        <v>0</v>
      </c>
      <c r="R33">
        <v>5.0000000000000001E-3</v>
      </c>
      <c r="S33">
        <v>0.32</v>
      </c>
      <c r="T33">
        <v>0.40100000000000002</v>
      </c>
    </row>
    <row r="34" spans="1:20" x14ac:dyDescent="0.2">
      <c r="A34" t="s">
        <v>582</v>
      </c>
      <c r="B34" t="s">
        <v>598</v>
      </c>
      <c r="C34">
        <v>229</v>
      </c>
      <c r="D34" t="s">
        <v>51</v>
      </c>
      <c r="E34" t="s">
        <v>42</v>
      </c>
      <c r="F34">
        <v>-2.0369999999999999</v>
      </c>
      <c r="G34">
        <v>4.0000000000000001E-3</v>
      </c>
      <c r="H34">
        <v>-3.0000000000000001E-3</v>
      </c>
      <c r="I34">
        <v>-3.4000000000000002E-2</v>
      </c>
      <c r="J34">
        <v>-1E-3</v>
      </c>
      <c r="K34">
        <v>-0.83699999999999997</v>
      </c>
      <c r="L34" s="2">
        <v>1E-3</v>
      </c>
      <c r="M34">
        <v>0.84699999999999998</v>
      </c>
      <c r="P34">
        <v>-0.58899999999999997</v>
      </c>
      <c r="Q34">
        <v>0</v>
      </c>
      <c r="R34">
        <v>5.0000000000000001E-3</v>
      </c>
      <c r="S34">
        <v>0.91100000000000003</v>
      </c>
    </row>
    <row r="35" spans="1:20" x14ac:dyDescent="0.2">
      <c r="A35" t="s">
        <v>581</v>
      </c>
      <c r="B35" t="s">
        <v>598</v>
      </c>
      <c r="C35">
        <v>230</v>
      </c>
      <c r="D35" t="s">
        <v>52</v>
      </c>
      <c r="E35" t="s">
        <v>53</v>
      </c>
      <c r="F35">
        <v>15.407999999999999</v>
      </c>
      <c r="G35">
        <v>-0.86899999999999999</v>
      </c>
      <c r="H35">
        <v>37.96</v>
      </c>
      <c r="I35">
        <v>2.282</v>
      </c>
      <c r="J35">
        <v>-1E-3</v>
      </c>
      <c r="K35">
        <f>-0.837</f>
        <v>-0.83699999999999997</v>
      </c>
      <c r="L35" s="2">
        <v>-0.85</v>
      </c>
      <c r="M35">
        <v>-1.2999999999999999E-2</v>
      </c>
      <c r="P35">
        <v>2.5000000000000001E-2</v>
      </c>
      <c r="Q35">
        <v>0</v>
      </c>
      <c r="R35">
        <v>5.0000000000000001E-3</v>
      </c>
      <c r="S35">
        <v>1.4E-2</v>
      </c>
    </row>
    <row r="36" spans="1:20" x14ac:dyDescent="0.2">
      <c r="A36" t="s">
        <v>106</v>
      </c>
      <c r="B36" t="s">
        <v>599</v>
      </c>
      <c r="C36">
        <v>233</v>
      </c>
      <c r="D36" t="s">
        <v>54</v>
      </c>
      <c r="E36" t="s">
        <v>6</v>
      </c>
      <c r="F36">
        <v>3.0950000000000002</v>
      </c>
      <c r="G36">
        <v>-0.24099999999999999</v>
      </c>
      <c r="H36">
        <v>-1.3240000000000001</v>
      </c>
      <c r="I36">
        <v>0.18</v>
      </c>
      <c r="J36">
        <v>-1E-3</v>
      </c>
      <c r="K36">
        <f>-0.837</f>
        <v>-0.83699999999999997</v>
      </c>
      <c r="L36" s="2">
        <v>-0.23699999999999999</v>
      </c>
      <c r="M36">
        <v>0.60599999999999998</v>
      </c>
      <c r="N36">
        <v>0.68700000000000006</v>
      </c>
      <c r="O36">
        <v>0.65</v>
      </c>
      <c r="P36">
        <v>-0.314</v>
      </c>
      <c r="Q36">
        <v>0</v>
      </c>
      <c r="R36">
        <v>4.0000000000000001E-3</v>
      </c>
      <c r="S36">
        <v>0.66</v>
      </c>
      <c r="T36">
        <v>0.74099999999999999</v>
      </c>
    </row>
    <row r="37" spans="1:20" x14ac:dyDescent="0.2">
      <c r="A37" t="s">
        <v>581</v>
      </c>
      <c r="B37" t="s">
        <v>600</v>
      </c>
      <c r="C37">
        <v>235</v>
      </c>
      <c r="D37" t="s">
        <v>55</v>
      </c>
      <c r="E37" t="s">
        <v>56</v>
      </c>
      <c r="F37">
        <v>14.416</v>
      </c>
      <c r="G37">
        <v>-0.82599999999999996</v>
      </c>
      <c r="H37">
        <v>35.223999999999997</v>
      </c>
      <c r="I37">
        <v>1.6319999999999999</v>
      </c>
      <c r="J37">
        <v>-1E-3</v>
      </c>
      <c r="K37">
        <f>-0.837</f>
        <v>-0.83699999999999997</v>
      </c>
      <c r="L37" s="2">
        <v>-0.80900000000000005</v>
      </c>
      <c r="M37">
        <v>2.9000000000000001E-2</v>
      </c>
      <c r="P37">
        <v>-0.55200000000000005</v>
      </c>
      <c r="Q37">
        <v>0</v>
      </c>
      <c r="R37">
        <v>4.0000000000000001E-3</v>
      </c>
      <c r="S37">
        <v>5.7000000000000002E-2</v>
      </c>
    </row>
    <row r="38" spans="1:20" x14ac:dyDescent="0.2">
      <c r="A38" t="s">
        <v>106</v>
      </c>
      <c r="B38" t="s">
        <v>600</v>
      </c>
      <c r="C38">
        <v>238</v>
      </c>
      <c r="D38" t="s">
        <v>57</v>
      </c>
      <c r="E38" t="s">
        <v>12</v>
      </c>
      <c r="F38">
        <v>17.332999999999998</v>
      </c>
      <c r="G38">
        <v>-0.57599999999999996</v>
      </c>
      <c r="H38">
        <v>25.141999999999999</v>
      </c>
      <c r="I38">
        <v>1.407</v>
      </c>
      <c r="J38">
        <v>-1E-3</v>
      </c>
      <c r="K38">
        <f>-0.838</f>
        <v>-0.83799999999999997</v>
      </c>
      <c r="L38" s="2">
        <v>-0.55600000000000005</v>
      </c>
      <c r="M38">
        <v>0.28399999999999997</v>
      </c>
      <c r="N38">
        <v>0.36499999999999999</v>
      </c>
      <c r="O38">
        <v>0.35199999999999998</v>
      </c>
      <c r="P38">
        <v>-0.33100000000000002</v>
      </c>
      <c r="Q38">
        <v>0</v>
      </c>
      <c r="R38">
        <v>3.0000000000000001E-3</v>
      </c>
      <c r="S38">
        <v>0.32400000000000001</v>
      </c>
      <c r="T38">
        <v>0.40500000000000003</v>
      </c>
    </row>
    <row r="39" spans="1:20" x14ac:dyDescent="0.2">
      <c r="A39" t="s">
        <v>581</v>
      </c>
      <c r="B39" t="s">
        <v>601</v>
      </c>
      <c r="C39">
        <v>241</v>
      </c>
      <c r="D39" t="s">
        <v>58</v>
      </c>
      <c r="E39" t="s">
        <v>59</v>
      </c>
      <c r="F39">
        <v>14.811999999999999</v>
      </c>
      <c r="G39">
        <v>-0.872</v>
      </c>
      <c r="H39">
        <v>36.435000000000002</v>
      </c>
      <c r="I39">
        <v>2.0539999999999998</v>
      </c>
      <c r="J39">
        <v>-1E-3</v>
      </c>
      <c r="K39">
        <f>-0.838</f>
        <v>-0.83799999999999997</v>
      </c>
      <c r="L39" s="2">
        <v>-0.85499999999999998</v>
      </c>
      <c r="M39">
        <v>-1.7999999999999999E-2</v>
      </c>
      <c r="P39">
        <v>-0.248</v>
      </c>
      <c r="Q39">
        <v>0</v>
      </c>
      <c r="R39">
        <v>3.0000000000000001E-3</v>
      </c>
      <c r="S39">
        <v>8.0000000000000002E-3</v>
      </c>
    </row>
    <row r="40" spans="1:20" x14ac:dyDescent="0.2">
      <c r="A40" t="s">
        <v>106</v>
      </c>
      <c r="B40" t="s">
        <v>601</v>
      </c>
      <c r="C40">
        <v>243</v>
      </c>
      <c r="D40" t="s">
        <v>60</v>
      </c>
      <c r="E40" t="s">
        <v>6</v>
      </c>
      <c r="F40">
        <v>3.024</v>
      </c>
      <c r="G40">
        <v>-0.29299999999999998</v>
      </c>
      <c r="H40">
        <v>-1.159</v>
      </c>
      <c r="I40">
        <v>0.23499999999999999</v>
      </c>
      <c r="J40">
        <v>-1E-3</v>
      </c>
      <c r="K40">
        <f>-0.838</f>
        <v>-0.83799999999999997</v>
      </c>
      <c r="L40" s="2">
        <v>-0.28999999999999998</v>
      </c>
      <c r="M40">
        <v>0.55300000000000005</v>
      </c>
      <c r="N40">
        <v>0.63400000000000001</v>
      </c>
      <c r="O40">
        <v>0.65</v>
      </c>
      <c r="P40">
        <v>-0.26100000000000001</v>
      </c>
      <c r="Q40">
        <v>0</v>
      </c>
      <c r="R40">
        <v>2E-3</v>
      </c>
      <c r="S40">
        <v>0.60599999999999998</v>
      </c>
      <c r="T40">
        <v>0.68700000000000006</v>
      </c>
    </row>
    <row r="41" spans="1:20" x14ac:dyDescent="0.2">
      <c r="A41" t="s">
        <v>106</v>
      </c>
      <c r="B41" t="s">
        <v>601</v>
      </c>
      <c r="C41">
        <v>247</v>
      </c>
      <c r="D41" t="s">
        <v>61</v>
      </c>
      <c r="E41" t="s">
        <v>12</v>
      </c>
      <c r="F41">
        <v>17.338000000000001</v>
      </c>
      <c r="G41">
        <v>-0.57399999999999995</v>
      </c>
      <c r="H41">
        <v>25.507999999999999</v>
      </c>
      <c r="I41">
        <v>1.6919999999999999</v>
      </c>
      <c r="J41">
        <v>-1E-3</v>
      </c>
      <c r="K41">
        <f>-0.838</f>
        <v>-0.83799999999999997</v>
      </c>
      <c r="L41" s="2">
        <v>-0.55600000000000005</v>
      </c>
      <c r="M41">
        <v>0.28499999999999998</v>
      </c>
      <c r="N41">
        <v>0.36599999999999999</v>
      </c>
      <c r="O41">
        <v>0.35199999999999998</v>
      </c>
      <c r="P41">
        <v>-0.13</v>
      </c>
      <c r="Q41">
        <v>0</v>
      </c>
      <c r="R41">
        <v>2E-3</v>
      </c>
      <c r="S41">
        <v>0.32500000000000001</v>
      </c>
      <c r="T41">
        <v>0.40600000000000003</v>
      </c>
    </row>
    <row r="42" spans="1:20" x14ac:dyDescent="0.2">
      <c r="A42" t="s">
        <v>581</v>
      </c>
      <c r="B42" t="s">
        <v>601</v>
      </c>
      <c r="C42">
        <v>248</v>
      </c>
      <c r="D42" t="s">
        <v>62</v>
      </c>
      <c r="E42" t="s">
        <v>63</v>
      </c>
      <c r="F42">
        <v>1.7000000000000001E-2</v>
      </c>
      <c r="G42">
        <v>-0.83599999999999997</v>
      </c>
      <c r="H42">
        <v>5.5449999999999999</v>
      </c>
      <c r="I42">
        <v>0.82099999999999995</v>
      </c>
      <c r="J42">
        <v>-1E-3</v>
      </c>
      <c r="K42">
        <f>-0.838</f>
        <v>-0.83799999999999997</v>
      </c>
      <c r="L42" s="2">
        <v>-0.83599999999999997</v>
      </c>
      <c r="M42">
        <v>2E-3</v>
      </c>
      <c r="P42">
        <v>-8.9999999999999993E-3</v>
      </c>
      <c r="Q42">
        <v>0</v>
      </c>
      <c r="R42">
        <v>1E-3</v>
      </c>
      <c r="S42">
        <v>2.9000000000000001E-2</v>
      </c>
    </row>
    <row r="43" spans="1:20" x14ac:dyDescent="0.2">
      <c r="A43" t="s">
        <v>582</v>
      </c>
      <c r="B43" t="s">
        <v>601</v>
      </c>
      <c r="C43">
        <v>249</v>
      </c>
      <c r="D43" t="s">
        <v>64</v>
      </c>
      <c r="E43" t="s">
        <v>42</v>
      </c>
      <c r="F43">
        <v>-2.1589999999999998</v>
      </c>
      <c r="G43">
        <v>3.4000000000000002E-2</v>
      </c>
      <c r="H43">
        <v>-0.224</v>
      </c>
      <c r="I43">
        <v>2E-3</v>
      </c>
      <c r="J43">
        <v>-1E-3</v>
      </c>
      <c r="K43">
        <v>-0.83799999999999997</v>
      </c>
      <c r="L43" s="2">
        <v>3.2000000000000001E-2</v>
      </c>
      <c r="M43">
        <v>0.877</v>
      </c>
      <c r="P43">
        <v>-0.53800000000000003</v>
      </c>
      <c r="Q43">
        <v>0</v>
      </c>
      <c r="R43">
        <v>1E-3</v>
      </c>
      <c r="S43">
        <v>0.94699999999999995</v>
      </c>
    </row>
    <row r="44" spans="1:20" x14ac:dyDescent="0.2">
      <c r="A44" t="s">
        <v>581</v>
      </c>
      <c r="B44" t="s">
        <v>602</v>
      </c>
      <c r="C44">
        <v>253</v>
      </c>
      <c r="D44" t="s">
        <v>65</v>
      </c>
      <c r="E44" t="s">
        <v>66</v>
      </c>
      <c r="F44">
        <v>-0.114</v>
      </c>
      <c r="G44">
        <v>-0.83399999999999996</v>
      </c>
      <c r="H44">
        <v>5.8620000000000001</v>
      </c>
      <c r="I44">
        <v>0.97299999999999998</v>
      </c>
      <c r="J44">
        <v>-1E-3</v>
      </c>
      <c r="K44">
        <f>-0.839</f>
        <v>-0.83899999999999997</v>
      </c>
      <c r="L44" s="2">
        <v>-0.83399999999999996</v>
      </c>
      <c r="M44">
        <v>4.0000000000000001E-3</v>
      </c>
      <c r="P44">
        <v>0.11899999999999999</v>
      </c>
      <c r="Q44">
        <v>0</v>
      </c>
      <c r="R44">
        <v>1E-3</v>
      </c>
      <c r="S44">
        <v>3.2000000000000001E-2</v>
      </c>
    </row>
    <row r="45" spans="1:20" x14ac:dyDescent="0.2">
      <c r="A45" t="s">
        <v>106</v>
      </c>
      <c r="B45" t="s">
        <v>603</v>
      </c>
      <c r="C45">
        <v>255</v>
      </c>
      <c r="D45" t="s">
        <v>67</v>
      </c>
      <c r="E45" t="s">
        <v>37</v>
      </c>
      <c r="F45">
        <v>16.859000000000002</v>
      </c>
      <c r="G45">
        <v>-0.55700000000000005</v>
      </c>
      <c r="H45">
        <v>24.827999999999999</v>
      </c>
      <c r="I45">
        <v>1.7989999999999999</v>
      </c>
      <c r="J45">
        <v>-1E-3</v>
      </c>
      <c r="K45">
        <f>-0.839</f>
        <v>-0.83899999999999997</v>
      </c>
      <c r="L45" s="2">
        <v>-0.54100000000000004</v>
      </c>
      <c r="M45">
        <v>0.3</v>
      </c>
      <c r="N45">
        <v>0.38100000000000001</v>
      </c>
      <c r="O45">
        <v>0.35199999999999998</v>
      </c>
      <c r="P45">
        <v>-4.9000000000000002E-2</v>
      </c>
      <c r="Q45">
        <v>0</v>
      </c>
      <c r="R45">
        <v>0</v>
      </c>
      <c r="S45">
        <v>0.34200000000000003</v>
      </c>
      <c r="T45">
        <v>0.42299999999999999</v>
      </c>
    </row>
    <row r="46" spans="1:20" x14ac:dyDescent="0.2">
      <c r="A46" t="s">
        <v>106</v>
      </c>
      <c r="B46" t="s">
        <v>603</v>
      </c>
      <c r="C46">
        <v>257</v>
      </c>
      <c r="D46" t="s">
        <v>68</v>
      </c>
      <c r="E46" t="s">
        <v>12</v>
      </c>
      <c r="F46">
        <v>17.384</v>
      </c>
      <c r="G46">
        <v>-0.55800000000000005</v>
      </c>
      <c r="H46">
        <v>25.754999999999999</v>
      </c>
      <c r="I46">
        <v>1.927</v>
      </c>
      <c r="J46">
        <v>-1E-3</v>
      </c>
      <c r="K46">
        <f>-0.839</f>
        <v>-0.83899999999999997</v>
      </c>
      <c r="L46" s="2">
        <v>-0.54200000000000004</v>
      </c>
      <c r="M46">
        <v>0.29899999999999999</v>
      </c>
      <c r="N46">
        <v>0.38</v>
      </c>
      <c r="O46">
        <v>0.35199999999999998</v>
      </c>
      <c r="P46">
        <v>1.4999999999999999E-2</v>
      </c>
      <c r="Q46">
        <v>0</v>
      </c>
      <c r="R46">
        <v>0</v>
      </c>
      <c r="S46">
        <v>0.34100000000000003</v>
      </c>
      <c r="T46">
        <v>0.42199999999999999</v>
      </c>
    </row>
    <row r="47" spans="1:20" s="1" customFormat="1" x14ac:dyDescent="0.2">
      <c r="A47" s="1" t="s">
        <v>102</v>
      </c>
      <c r="B47" s="1" t="s">
        <v>603</v>
      </c>
      <c r="C47" s="1">
        <v>258</v>
      </c>
      <c r="D47" s="1" t="s">
        <v>69</v>
      </c>
      <c r="E47" s="1" t="s">
        <v>70</v>
      </c>
      <c r="F47" s="1">
        <v>1.448</v>
      </c>
      <c r="G47" s="1">
        <v>-0.249</v>
      </c>
      <c r="H47" s="1">
        <v>9.8740000000000006</v>
      </c>
      <c r="I47" s="1">
        <v>0.74199999999999999</v>
      </c>
      <c r="J47" s="1">
        <v>-1E-3</v>
      </c>
      <c r="K47" s="1">
        <f>-0.839</f>
        <v>-0.83899999999999997</v>
      </c>
      <c r="L47" s="3">
        <v>-0.248</v>
      </c>
      <c r="M47" s="1">
        <v>0.59599999999999997</v>
      </c>
      <c r="N47" s="1">
        <v>0.67700000000000005</v>
      </c>
      <c r="P47" s="1">
        <v>-0.33300000000000002</v>
      </c>
      <c r="Q47" s="1">
        <v>0</v>
      </c>
      <c r="R47" s="1">
        <v>0</v>
      </c>
      <c r="S47" s="1">
        <v>0.65300000000000002</v>
      </c>
      <c r="T47" s="1">
        <v>0.73399999999999999</v>
      </c>
    </row>
    <row r="48" spans="1:20" s="1" customFormat="1" x14ac:dyDescent="0.2">
      <c r="A48" s="1" t="s">
        <v>102</v>
      </c>
      <c r="B48" s="1" t="s">
        <v>603</v>
      </c>
      <c r="C48" s="1">
        <v>259</v>
      </c>
      <c r="D48" s="1" t="s">
        <v>71</v>
      </c>
      <c r="E48" s="1" t="s">
        <v>72</v>
      </c>
      <c r="F48" s="1">
        <v>1.698</v>
      </c>
      <c r="G48" s="1">
        <v>-0.247</v>
      </c>
      <c r="H48" s="1">
        <v>9.93</v>
      </c>
      <c r="I48" s="1">
        <v>0.71099999999999997</v>
      </c>
      <c r="J48" s="1">
        <v>-1E-3</v>
      </c>
      <c r="K48" s="1">
        <f>-0.839</f>
        <v>-0.83899999999999997</v>
      </c>
      <c r="L48" s="3">
        <v>-0.246</v>
      </c>
      <c r="M48" s="1">
        <v>0.59799999999999998</v>
      </c>
      <c r="N48" s="1">
        <v>0.67900000000000005</v>
      </c>
      <c r="P48" s="1">
        <v>-0.37</v>
      </c>
      <c r="Q48" s="1">
        <v>0</v>
      </c>
      <c r="R48" s="1">
        <v>0</v>
      </c>
      <c r="S48" s="1">
        <v>0.65500000000000003</v>
      </c>
      <c r="T48" s="1">
        <v>0.73599999999999999</v>
      </c>
    </row>
    <row r="49" spans="1:20" s="1" customFormat="1" x14ac:dyDescent="0.2">
      <c r="A49" s="1" t="s">
        <v>102</v>
      </c>
      <c r="B49" s="1" t="s">
        <v>604</v>
      </c>
      <c r="C49" s="1">
        <v>260</v>
      </c>
      <c r="D49" s="1" t="s">
        <v>73</v>
      </c>
      <c r="E49" s="1" t="s">
        <v>74</v>
      </c>
      <c r="F49" s="1">
        <v>3.028</v>
      </c>
      <c r="G49" s="1">
        <v>-0.248</v>
      </c>
      <c r="H49" s="1">
        <v>10.023</v>
      </c>
      <c r="I49" s="1">
        <v>0.72599999999999998</v>
      </c>
      <c r="J49" s="1">
        <v>-1E-3</v>
      </c>
      <c r="K49" s="1">
        <f>-0.839</f>
        <v>-0.83899999999999997</v>
      </c>
      <c r="L49" s="3">
        <v>-0.245</v>
      </c>
      <c r="M49" s="1">
        <v>0.59799999999999998</v>
      </c>
      <c r="N49" s="1">
        <v>0.67900000000000005</v>
      </c>
      <c r="P49" s="1">
        <v>-0.36299999999999999</v>
      </c>
      <c r="Q49" s="1">
        <v>0</v>
      </c>
      <c r="R49" s="1">
        <v>0</v>
      </c>
      <c r="S49" s="1">
        <v>0.65500000000000003</v>
      </c>
      <c r="T49" s="1">
        <v>0.73599999999999999</v>
      </c>
    </row>
    <row r="50" spans="1:20" s="1" customFormat="1" x14ac:dyDescent="0.2">
      <c r="A50" s="1" t="s">
        <v>102</v>
      </c>
      <c r="B50" s="1" t="s">
        <v>604</v>
      </c>
      <c r="C50" s="1">
        <v>261</v>
      </c>
      <c r="D50" s="1" t="s">
        <v>75</v>
      </c>
      <c r="E50" s="1" t="s">
        <v>74</v>
      </c>
      <c r="F50" s="1">
        <v>3.0640000000000001</v>
      </c>
      <c r="G50" s="1">
        <v>-0.25700000000000001</v>
      </c>
      <c r="H50" s="1">
        <v>10.137</v>
      </c>
      <c r="I50" s="1">
        <v>0.75700000000000001</v>
      </c>
      <c r="J50" s="1">
        <v>-1E-3</v>
      </c>
      <c r="K50" s="1">
        <f>-0.839</f>
        <v>-0.83899999999999997</v>
      </c>
      <c r="L50" s="3">
        <v>-0.254</v>
      </c>
      <c r="M50" s="1">
        <v>0.58899999999999997</v>
      </c>
      <c r="N50" s="1">
        <v>0.67</v>
      </c>
      <c r="P50" s="1">
        <v>-0.34200000000000003</v>
      </c>
      <c r="Q50" s="1">
        <v>0</v>
      </c>
      <c r="R50" s="1">
        <v>-1E-3</v>
      </c>
      <c r="S50" s="1">
        <v>0.64600000000000002</v>
      </c>
      <c r="T50" s="1">
        <v>0.72699999999999998</v>
      </c>
    </row>
    <row r="51" spans="1:20" x14ac:dyDescent="0.2">
      <c r="A51" t="s">
        <v>106</v>
      </c>
      <c r="B51" t="s">
        <v>604</v>
      </c>
      <c r="C51">
        <v>262</v>
      </c>
      <c r="D51" t="s">
        <v>76</v>
      </c>
      <c r="E51" t="s">
        <v>6</v>
      </c>
      <c r="F51">
        <v>3.032</v>
      </c>
      <c r="G51">
        <v>-0.28399999999999997</v>
      </c>
      <c r="H51">
        <v>-0.95599999999999996</v>
      </c>
      <c r="I51">
        <v>0.26800000000000002</v>
      </c>
      <c r="J51">
        <v>-1E-3</v>
      </c>
      <c r="K51">
        <f>-0.839</f>
        <v>-0.83899999999999997</v>
      </c>
      <c r="L51" s="2">
        <v>-0.28100000000000003</v>
      </c>
      <c r="M51">
        <v>0.56200000000000006</v>
      </c>
      <c r="N51">
        <v>0.64300000000000002</v>
      </c>
      <c r="O51">
        <v>0.65</v>
      </c>
      <c r="P51">
        <v>-0.23</v>
      </c>
      <c r="Q51">
        <v>0</v>
      </c>
      <c r="R51">
        <v>-1E-3</v>
      </c>
      <c r="S51">
        <v>0.61699999999999999</v>
      </c>
      <c r="T51">
        <v>0.69799999999999995</v>
      </c>
    </row>
    <row r="52" spans="1:20" x14ac:dyDescent="0.2">
      <c r="A52" t="s">
        <v>581</v>
      </c>
      <c r="B52" t="s">
        <v>604</v>
      </c>
      <c r="C52">
        <v>263</v>
      </c>
      <c r="D52" t="s">
        <v>77</v>
      </c>
      <c r="E52" t="s">
        <v>78</v>
      </c>
      <c r="F52">
        <v>0.40899999999999997</v>
      </c>
      <c r="G52">
        <v>-0.84299999999999997</v>
      </c>
      <c r="H52">
        <v>6.4569999999999999</v>
      </c>
      <c r="I52">
        <v>0.91700000000000004</v>
      </c>
      <c r="J52">
        <v>-1E-3</v>
      </c>
      <c r="K52">
        <f>-0.839</f>
        <v>-0.83899999999999997</v>
      </c>
      <c r="L52" s="2">
        <v>-0.84299999999999997</v>
      </c>
      <c r="M52">
        <v>-4.0000000000000001E-3</v>
      </c>
      <c r="P52">
        <v>1.4E-2</v>
      </c>
      <c r="Q52">
        <v>0</v>
      </c>
      <c r="R52">
        <v>-1E-3</v>
      </c>
      <c r="S52">
        <v>2.3E-2</v>
      </c>
    </row>
    <row r="53" spans="1:20" s="1" customFormat="1" x14ac:dyDescent="0.2">
      <c r="A53" s="1" t="s">
        <v>102</v>
      </c>
      <c r="B53" s="1" t="s">
        <v>605</v>
      </c>
      <c r="C53" s="1">
        <v>264</v>
      </c>
      <c r="D53" s="1" t="s">
        <v>79</v>
      </c>
      <c r="E53" s="1" t="s">
        <v>70</v>
      </c>
      <c r="F53" s="1">
        <v>1.3640000000000001</v>
      </c>
      <c r="G53" s="1">
        <v>-0.23</v>
      </c>
      <c r="H53" s="1">
        <v>9.7230000000000008</v>
      </c>
      <c r="I53" s="1">
        <v>0.72099999999999997</v>
      </c>
      <c r="J53" s="1">
        <v>-1E-3</v>
      </c>
      <c r="K53" s="1">
        <f>-0.839</f>
        <v>-0.83899999999999997</v>
      </c>
      <c r="L53" s="3">
        <v>-0.22900000000000001</v>
      </c>
      <c r="M53" s="1">
        <v>0.61499999999999999</v>
      </c>
      <c r="N53" s="1">
        <v>0.69599999999999995</v>
      </c>
      <c r="P53" s="1">
        <v>-0.36399999999999999</v>
      </c>
      <c r="Q53" s="1">
        <v>0</v>
      </c>
      <c r="R53" s="1">
        <v>-1E-3</v>
      </c>
      <c r="S53" s="1">
        <v>0.67300000000000004</v>
      </c>
      <c r="T53" s="1">
        <v>0.754</v>
      </c>
    </row>
    <row r="54" spans="1:20" s="1" customFormat="1" x14ac:dyDescent="0.2">
      <c r="A54" s="1" t="s">
        <v>102</v>
      </c>
      <c r="B54" s="1" t="s">
        <v>605</v>
      </c>
      <c r="C54" s="1">
        <v>265</v>
      </c>
      <c r="D54" s="1" t="s">
        <v>80</v>
      </c>
      <c r="E54" s="1" t="s">
        <v>74</v>
      </c>
      <c r="F54" s="1">
        <v>3.0209999999999999</v>
      </c>
      <c r="G54" s="1">
        <v>-0.22500000000000001</v>
      </c>
      <c r="H54" s="1">
        <v>10.108000000000001</v>
      </c>
      <c r="I54" s="1">
        <v>0.73099999999999998</v>
      </c>
      <c r="J54" s="1">
        <v>-1E-3</v>
      </c>
      <c r="K54" s="1">
        <f>-0.839</f>
        <v>-0.83899999999999997</v>
      </c>
      <c r="L54" s="3">
        <v>-0.223</v>
      </c>
      <c r="M54" s="1">
        <v>0.621</v>
      </c>
      <c r="N54" s="1">
        <v>0.70199999999999996</v>
      </c>
      <c r="P54" s="1">
        <v>-0.378</v>
      </c>
      <c r="Q54" s="1">
        <v>0</v>
      </c>
      <c r="R54" s="1">
        <v>-1E-3</v>
      </c>
      <c r="S54" s="1">
        <v>0.68</v>
      </c>
      <c r="T54" s="1">
        <v>0.76100000000000001</v>
      </c>
    </row>
    <row r="55" spans="1:20" s="1" customFormat="1" x14ac:dyDescent="0.2">
      <c r="A55" s="1" t="s">
        <v>102</v>
      </c>
      <c r="B55" s="1" t="s">
        <v>605</v>
      </c>
      <c r="C55" s="1">
        <v>267</v>
      </c>
      <c r="D55" s="1" t="s">
        <v>81</v>
      </c>
      <c r="E55" s="1" t="s">
        <v>70</v>
      </c>
      <c r="F55" s="1">
        <v>1.405</v>
      </c>
      <c r="G55" s="1">
        <v>-0.27100000000000002</v>
      </c>
      <c r="H55" s="1">
        <v>9.7050000000000001</v>
      </c>
      <c r="I55" s="1">
        <v>0.60199999999999998</v>
      </c>
      <c r="J55" s="1">
        <v>-1E-3</v>
      </c>
      <c r="K55" s="1">
        <f>-0.839</f>
        <v>-0.83899999999999997</v>
      </c>
      <c r="L55" s="3">
        <v>-0.27</v>
      </c>
      <c r="M55" s="1">
        <v>0.57399999999999995</v>
      </c>
      <c r="N55" s="1">
        <v>0.65500000000000003</v>
      </c>
      <c r="P55" s="1">
        <v>-0.49099999999999999</v>
      </c>
      <c r="Q55" s="1">
        <v>0</v>
      </c>
      <c r="R55" s="1">
        <v>-1E-3</v>
      </c>
      <c r="S55" s="1">
        <v>0.63</v>
      </c>
      <c r="T55" s="1">
        <v>0.71099999999999997</v>
      </c>
    </row>
    <row r="56" spans="1:20" s="1" customFormat="1" x14ac:dyDescent="0.2">
      <c r="A56" s="1" t="s">
        <v>102</v>
      </c>
      <c r="B56" s="1" t="s">
        <v>605</v>
      </c>
      <c r="C56" s="1">
        <v>268</v>
      </c>
      <c r="D56" s="1" t="s">
        <v>82</v>
      </c>
      <c r="E56" s="1" t="s">
        <v>72</v>
      </c>
      <c r="F56" s="1">
        <v>1.706</v>
      </c>
      <c r="G56" s="1">
        <v>-0.23300000000000001</v>
      </c>
      <c r="H56" s="1">
        <v>9.9339999999999993</v>
      </c>
      <c r="I56" s="1">
        <v>0.71</v>
      </c>
      <c r="J56" s="1">
        <v>-1E-3</v>
      </c>
      <c r="K56" s="1">
        <f>-0.84</f>
        <v>-0.84</v>
      </c>
      <c r="L56" s="3">
        <v>-0.23200000000000001</v>
      </c>
      <c r="M56" s="1">
        <v>0.61199999999999999</v>
      </c>
      <c r="N56" s="1">
        <v>0.69299999999999995</v>
      </c>
      <c r="P56" s="1">
        <v>-0.39900000000000002</v>
      </c>
      <c r="Q56" s="1">
        <v>0</v>
      </c>
      <c r="R56" s="1">
        <v>-2E-3</v>
      </c>
      <c r="S56" s="1">
        <v>0.67100000000000004</v>
      </c>
      <c r="T56" s="1">
        <v>0.752</v>
      </c>
    </row>
    <row r="57" spans="1:20" x14ac:dyDescent="0.2">
      <c r="A57" t="s">
        <v>581</v>
      </c>
      <c r="B57" t="s">
        <v>605</v>
      </c>
      <c r="C57">
        <v>269</v>
      </c>
      <c r="D57" t="s">
        <v>83</v>
      </c>
      <c r="E57" t="s">
        <v>84</v>
      </c>
      <c r="F57">
        <v>14.824</v>
      </c>
      <c r="G57">
        <v>-0.85799999999999998</v>
      </c>
      <c r="H57">
        <v>36.729999999999997</v>
      </c>
      <c r="I57">
        <v>2.61</v>
      </c>
      <c r="J57">
        <v>-1E-3</v>
      </c>
      <c r="K57">
        <f>-0.84</f>
        <v>-0.84</v>
      </c>
      <c r="L57" s="2">
        <v>-0.84699999999999998</v>
      </c>
      <c r="M57">
        <v>-7.0000000000000001E-3</v>
      </c>
      <c r="P57">
        <v>-2.1999999999999999E-2</v>
      </c>
      <c r="Q57">
        <v>0</v>
      </c>
      <c r="R57">
        <v>-2E-3</v>
      </c>
      <c r="S57">
        <v>1.9E-2</v>
      </c>
    </row>
    <row r="58" spans="1:20" x14ac:dyDescent="0.2">
      <c r="A58" t="s">
        <v>106</v>
      </c>
      <c r="B58" t="s">
        <v>606</v>
      </c>
      <c r="C58">
        <v>270</v>
      </c>
      <c r="D58" t="s">
        <v>85</v>
      </c>
      <c r="E58" t="s">
        <v>12</v>
      </c>
      <c r="F58">
        <v>17.297000000000001</v>
      </c>
      <c r="G58">
        <v>-0.58699999999999997</v>
      </c>
      <c r="H58">
        <v>25.649000000000001</v>
      </c>
      <c r="I58">
        <v>1.929</v>
      </c>
      <c r="J58">
        <v>-1E-3</v>
      </c>
      <c r="K58">
        <f>-0.84</f>
        <v>-0.84</v>
      </c>
      <c r="L58" s="2">
        <v>-0.57399999999999995</v>
      </c>
      <c r="M58">
        <v>0.26700000000000002</v>
      </c>
      <c r="N58">
        <v>0.34799999999999998</v>
      </c>
      <c r="O58">
        <v>0.35199999999999998</v>
      </c>
      <c r="P58">
        <v>-8.3000000000000004E-2</v>
      </c>
      <c r="Q58">
        <v>0</v>
      </c>
      <c r="R58">
        <v>-2E-3</v>
      </c>
      <c r="S58">
        <v>0.308</v>
      </c>
      <c r="T58">
        <v>0.38900000000000001</v>
      </c>
    </row>
    <row r="59" spans="1:20" x14ac:dyDescent="0.2">
      <c r="A59" t="s">
        <v>582</v>
      </c>
      <c r="B59" t="s">
        <v>606</v>
      </c>
      <c r="C59">
        <v>271</v>
      </c>
      <c r="D59" t="s">
        <v>86</v>
      </c>
      <c r="E59" t="s">
        <v>87</v>
      </c>
      <c r="F59">
        <v>16.381</v>
      </c>
      <c r="G59">
        <v>-7.0000000000000001E-3</v>
      </c>
      <c r="H59">
        <v>38.982999999999997</v>
      </c>
      <c r="I59">
        <v>2.206</v>
      </c>
      <c r="J59">
        <v>-1E-3</v>
      </c>
      <c r="K59">
        <v>-0.84</v>
      </c>
      <c r="L59" s="2">
        <v>5.0000000000000001E-3</v>
      </c>
      <c r="M59">
        <v>0.85</v>
      </c>
      <c r="P59">
        <v>-0.57899999999999996</v>
      </c>
      <c r="Q59">
        <v>0</v>
      </c>
      <c r="R59">
        <v>-2E-3</v>
      </c>
      <c r="S59">
        <v>0.92200000000000004</v>
      </c>
    </row>
    <row r="60" spans="1:20" s="1" customFormat="1" x14ac:dyDescent="0.2">
      <c r="A60" s="1" t="s">
        <v>102</v>
      </c>
      <c r="B60" s="1" t="s">
        <v>606</v>
      </c>
      <c r="C60" s="1">
        <v>272</v>
      </c>
      <c r="D60" s="1" t="s">
        <v>88</v>
      </c>
      <c r="E60" s="1" t="s">
        <v>89</v>
      </c>
      <c r="F60" s="1">
        <v>1.331</v>
      </c>
      <c r="G60" s="1">
        <v>-0.254</v>
      </c>
      <c r="H60" s="1">
        <v>9.3409999999999993</v>
      </c>
      <c r="I60" s="1">
        <v>0.73199999999999998</v>
      </c>
      <c r="J60" s="1">
        <v>-1E-3</v>
      </c>
      <c r="K60" s="1">
        <f>-0.84</f>
        <v>-0.84</v>
      </c>
      <c r="L60" s="3">
        <v>-0.253</v>
      </c>
      <c r="M60" s="1">
        <v>0.59099999999999997</v>
      </c>
      <c r="N60" s="1">
        <v>0.67200000000000004</v>
      </c>
      <c r="P60" s="1">
        <v>-0.35499999999999998</v>
      </c>
      <c r="Q60" s="1">
        <v>0</v>
      </c>
      <c r="R60" s="1">
        <v>-2E-3</v>
      </c>
      <c r="S60" s="1">
        <v>0.64900000000000002</v>
      </c>
      <c r="T60" s="1">
        <v>0.73</v>
      </c>
    </row>
    <row r="61" spans="1:20" s="1" customFormat="1" x14ac:dyDescent="0.2">
      <c r="A61" s="1" t="s">
        <v>102</v>
      </c>
      <c r="B61" s="1" t="s">
        <v>606</v>
      </c>
      <c r="C61" s="1">
        <v>273</v>
      </c>
      <c r="D61" s="1" t="s">
        <v>90</v>
      </c>
      <c r="E61" s="1" t="s">
        <v>91</v>
      </c>
      <c r="F61" s="1">
        <v>0.871</v>
      </c>
      <c r="G61" s="1">
        <v>-0.24099999999999999</v>
      </c>
      <c r="H61" s="1">
        <v>8.8040000000000003</v>
      </c>
      <c r="I61" s="1">
        <v>0.73199999999999998</v>
      </c>
      <c r="J61" s="1">
        <v>-1E-3</v>
      </c>
      <c r="K61" s="1">
        <f>-0.84</f>
        <v>-0.84</v>
      </c>
      <c r="L61" s="3">
        <v>-0.24</v>
      </c>
      <c r="M61" s="1">
        <v>0.60299999999999998</v>
      </c>
      <c r="N61" s="1">
        <v>0.68400000000000005</v>
      </c>
      <c r="P61" s="1">
        <v>-0.32700000000000001</v>
      </c>
      <c r="Q61" s="1">
        <v>0</v>
      </c>
      <c r="R61" s="1">
        <v>-2E-3</v>
      </c>
      <c r="S61" s="1">
        <v>0.66200000000000003</v>
      </c>
      <c r="T61" s="1">
        <v>0.74299999999999999</v>
      </c>
    </row>
    <row r="62" spans="1:20" s="1" customFormat="1" x14ac:dyDescent="0.2">
      <c r="A62" s="1" t="s">
        <v>102</v>
      </c>
      <c r="B62" s="1" t="s">
        <v>606</v>
      </c>
      <c r="C62" s="1">
        <v>274</v>
      </c>
      <c r="D62" s="1" t="s">
        <v>92</v>
      </c>
      <c r="E62" s="1" t="s">
        <v>89</v>
      </c>
      <c r="F62" s="1">
        <v>1.3440000000000001</v>
      </c>
      <c r="G62" s="1">
        <v>-0.26500000000000001</v>
      </c>
      <c r="H62" s="1">
        <v>9.3320000000000007</v>
      </c>
      <c r="I62" s="1">
        <v>0.71</v>
      </c>
      <c r="J62" s="1">
        <v>-1E-3</v>
      </c>
      <c r="K62" s="1">
        <f>-0.84</f>
        <v>-0.84</v>
      </c>
      <c r="L62" s="3">
        <v>-0.26400000000000001</v>
      </c>
      <c r="M62" s="1">
        <v>0.57999999999999996</v>
      </c>
      <c r="N62" s="1">
        <v>0.66100000000000003</v>
      </c>
      <c r="P62" s="1">
        <v>-0.38300000000000001</v>
      </c>
      <c r="Q62" s="1">
        <v>0</v>
      </c>
      <c r="R62" s="1">
        <v>-2E-3</v>
      </c>
      <c r="S62" s="1">
        <v>0.63700000000000001</v>
      </c>
      <c r="T62" s="1">
        <v>0.71799999999999997</v>
      </c>
    </row>
    <row r="63" spans="1:20" x14ac:dyDescent="0.2">
      <c r="A63" t="s">
        <v>106</v>
      </c>
      <c r="B63" t="s">
        <v>607</v>
      </c>
      <c r="C63">
        <v>276</v>
      </c>
      <c r="D63" t="s">
        <v>93</v>
      </c>
      <c r="E63" t="s">
        <v>6</v>
      </c>
      <c r="F63">
        <v>3.4</v>
      </c>
      <c r="G63">
        <v>-0.26600000000000001</v>
      </c>
      <c r="H63">
        <v>-0.66900000000000004</v>
      </c>
      <c r="I63">
        <v>0.17899999999999999</v>
      </c>
      <c r="J63">
        <v>-1E-3</v>
      </c>
      <c r="K63">
        <f>-0.84</f>
        <v>-0.84</v>
      </c>
      <c r="L63" s="2">
        <v>-0.26400000000000001</v>
      </c>
      <c r="M63">
        <v>0.57999999999999996</v>
      </c>
      <c r="N63">
        <v>0.66100000000000003</v>
      </c>
      <c r="O63">
        <v>0.65</v>
      </c>
      <c r="P63">
        <v>-0.32900000000000001</v>
      </c>
      <c r="Q63">
        <v>0</v>
      </c>
      <c r="R63">
        <v>-3.0000000000000001E-3</v>
      </c>
      <c r="S63">
        <v>0.63800000000000001</v>
      </c>
      <c r="T63">
        <v>0.71899999999999997</v>
      </c>
    </row>
    <row r="64" spans="1:20" s="1" customFormat="1" x14ac:dyDescent="0.2">
      <c r="A64" s="1" t="s">
        <v>102</v>
      </c>
      <c r="B64" s="1" t="s">
        <v>607</v>
      </c>
      <c r="C64" s="1">
        <v>277</v>
      </c>
      <c r="D64" s="1" t="s">
        <v>94</v>
      </c>
      <c r="E64" s="1" t="s">
        <v>91</v>
      </c>
      <c r="F64" s="1">
        <v>0.86299999999999999</v>
      </c>
      <c r="G64" s="1">
        <v>-0.249</v>
      </c>
      <c r="H64" s="1">
        <v>8.8369999999999997</v>
      </c>
      <c r="I64" s="1">
        <v>0.82199999999999995</v>
      </c>
      <c r="J64" s="1">
        <v>-1E-3</v>
      </c>
      <c r="K64" s="1">
        <f>-0.84</f>
        <v>-0.84</v>
      </c>
      <c r="L64" s="3">
        <v>-0.248</v>
      </c>
      <c r="M64" s="1">
        <v>0.59499999999999997</v>
      </c>
      <c r="N64" s="1">
        <v>0.67600000000000005</v>
      </c>
      <c r="P64" s="1">
        <v>-0.25</v>
      </c>
      <c r="Q64" s="1">
        <v>0</v>
      </c>
      <c r="R64" s="1">
        <v>-3.0000000000000001E-3</v>
      </c>
      <c r="S64" s="1">
        <v>0.65400000000000003</v>
      </c>
      <c r="T64" s="1">
        <v>0.73499999999999999</v>
      </c>
    </row>
    <row r="65" spans="1:20" s="1" customFormat="1" x14ac:dyDescent="0.2">
      <c r="A65" s="1" t="s">
        <v>102</v>
      </c>
      <c r="B65" s="1" t="s">
        <v>607</v>
      </c>
      <c r="C65" s="1">
        <v>278</v>
      </c>
      <c r="D65" s="1" t="s">
        <v>95</v>
      </c>
      <c r="E65" s="1" t="s">
        <v>89</v>
      </c>
      <c r="F65" s="1">
        <v>1.425</v>
      </c>
      <c r="G65" s="1">
        <v>-0.24299999999999999</v>
      </c>
      <c r="H65" s="1">
        <v>9.5280000000000005</v>
      </c>
      <c r="I65" s="1">
        <v>0.82099999999999995</v>
      </c>
      <c r="J65" s="1">
        <v>-1E-3</v>
      </c>
      <c r="K65" s="1">
        <f>-0.84</f>
        <v>-0.84</v>
      </c>
      <c r="L65" s="3">
        <v>-0.24199999999999999</v>
      </c>
      <c r="M65" s="1">
        <v>0.60199999999999998</v>
      </c>
      <c r="N65" s="1">
        <v>0.68300000000000005</v>
      </c>
      <c r="P65" s="1">
        <v>-0.29599999999999999</v>
      </c>
      <c r="Q65" s="1">
        <v>0</v>
      </c>
      <c r="R65" s="1">
        <v>-3.0000000000000001E-3</v>
      </c>
      <c r="S65" s="1">
        <v>0.66100000000000003</v>
      </c>
      <c r="T65" s="1">
        <v>0.74199999999999999</v>
      </c>
    </row>
    <row r="66" spans="1:20" x14ac:dyDescent="0.2">
      <c r="A66" t="s">
        <v>581</v>
      </c>
      <c r="B66" t="s">
        <v>608</v>
      </c>
      <c r="C66">
        <v>279</v>
      </c>
      <c r="D66" t="s">
        <v>96</v>
      </c>
      <c r="E66" t="s">
        <v>97</v>
      </c>
      <c r="F66">
        <v>14.835000000000001</v>
      </c>
      <c r="G66">
        <v>-0.84199999999999997</v>
      </c>
      <c r="H66">
        <v>36.551000000000002</v>
      </c>
      <c r="I66">
        <v>2.8650000000000002</v>
      </c>
      <c r="J66">
        <v>-1E-3</v>
      </c>
      <c r="K66">
        <f>-0.84</f>
        <v>-0.84</v>
      </c>
      <c r="L66" s="2">
        <v>-0.83299999999999996</v>
      </c>
      <c r="M66">
        <v>7.0000000000000001E-3</v>
      </c>
      <c r="P66">
        <v>0.123</v>
      </c>
      <c r="Q66">
        <v>0</v>
      </c>
      <c r="R66">
        <v>-3.0000000000000001E-3</v>
      </c>
      <c r="S66">
        <v>3.5000000000000003E-2</v>
      </c>
    </row>
    <row r="67" spans="1:20" s="1" customFormat="1" x14ac:dyDescent="0.2">
      <c r="A67" s="1" t="s">
        <v>102</v>
      </c>
      <c r="B67" s="1" t="s">
        <v>608</v>
      </c>
      <c r="C67" s="1">
        <v>281</v>
      </c>
      <c r="D67" s="1" t="s">
        <v>98</v>
      </c>
      <c r="E67" s="1" t="s">
        <v>91</v>
      </c>
      <c r="F67" s="1">
        <v>0.90300000000000002</v>
      </c>
      <c r="G67" s="1">
        <v>-0.25900000000000001</v>
      </c>
      <c r="H67" s="1">
        <v>8.89</v>
      </c>
      <c r="I67" s="1">
        <v>0.76200000000000001</v>
      </c>
      <c r="J67" s="1">
        <v>-1E-3</v>
      </c>
      <c r="K67" s="1">
        <f>-0.84</f>
        <v>-0.84</v>
      </c>
      <c r="L67" s="3">
        <v>-0.25800000000000001</v>
      </c>
      <c r="M67" s="1">
        <v>0.58499999999999996</v>
      </c>
      <c r="N67" s="1">
        <v>0.66600000000000004</v>
      </c>
      <c r="P67" s="1">
        <v>-0.32500000000000001</v>
      </c>
      <c r="Q67" s="1">
        <v>0</v>
      </c>
      <c r="R67" s="1">
        <v>-3.0000000000000001E-3</v>
      </c>
      <c r="S67" s="1">
        <v>0.64400000000000002</v>
      </c>
      <c r="T67" s="1">
        <v>0.72499999999999998</v>
      </c>
    </row>
    <row r="68" spans="1:20" x14ac:dyDescent="0.2">
      <c r="A68" t="s">
        <v>582</v>
      </c>
      <c r="B68" t="s">
        <v>609</v>
      </c>
      <c r="C68">
        <v>283</v>
      </c>
      <c r="D68" t="s">
        <v>99</v>
      </c>
      <c r="E68" t="s">
        <v>100</v>
      </c>
      <c r="F68">
        <v>-2.077</v>
      </c>
      <c r="G68">
        <v>-1.2E-2</v>
      </c>
      <c r="H68">
        <v>-7.0000000000000007E-2</v>
      </c>
      <c r="I68">
        <v>-5.3999999999999999E-2</v>
      </c>
      <c r="J68">
        <v>-1E-3</v>
      </c>
      <c r="K68">
        <f>-0.841</f>
        <v>-0.84099999999999997</v>
      </c>
      <c r="L68" s="2">
        <v>-1.2999999999999999E-2</v>
      </c>
      <c r="M68">
        <v>0.83199999999999996</v>
      </c>
      <c r="P68">
        <v>-0.59699999999999998</v>
      </c>
      <c r="Q68">
        <v>0</v>
      </c>
      <c r="R68">
        <v>-4.0000000000000001E-3</v>
      </c>
      <c r="S68">
        <v>0.90500000000000003</v>
      </c>
    </row>
    <row r="69" spans="1:20" x14ac:dyDescent="0.2">
      <c r="A69" t="s">
        <v>106</v>
      </c>
      <c r="B69" t="s">
        <v>609</v>
      </c>
      <c r="C69">
        <v>285</v>
      </c>
      <c r="D69" t="s">
        <v>101</v>
      </c>
      <c r="E69" t="s">
        <v>6</v>
      </c>
      <c r="F69">
        <v>3.0870000000000002</v>
      </c>
      <c r="G69">
        <v>-0.28399999999999997</v>
      </c>
      <c r="H69">
        <v>-1.232</v>
      </c>
      <c r="I69">
        <v>0.17299999999999999</v>
      </c>
      <c r="J69">
        <v>-1E-3</v>
      </c>
      <c r="K69">
        <f>-0.841</f>
        <v>-0.84099999999999997</v>
      </c>
      <c r="L69" s="2">
        <v>-0.28199999999999997</v>
      </c>
      <c r="M69">
        <v>0.56100000000000005</v>
      </c>
      <c r="N69">
        <v>0.64200000000000002</v>
      </c>
      <c r="O69">
        <v>0.65</v>
      </c>
      <c r="P69">
        <v>-0.29699999999999999</v>
      </c>
      <c r="Q69">
        <v>0</v>
      </c>
      <c r="R69">
        <v>-4.0000000000000001E-3</v>
      </c>
      <c r="S69">
        <v>0.61899999999999999</v>
      </c>
      <c r="T69">
        <v>0.7</v>
      </c>
    </row>
    <row r="70" spans="1:20" s="1" customFormat="1" x14ac:dyDescent="0.2">
      <c r="A70" s="1" t="s">
        <v>102</v>
      </c>
      <c r="B70" s="1" t="s">
        <v>103</v>
      </c>
      <c r="C70" s="1">
        <v>289</v>
      </c>
      <c r="D70" s="1" t="s">
        <v>104</v>
      </c>
      <c r="E70" s="1" t="s">
        <v>105</v>
      </c>
      <c r="F70" s="1">
        <v>1.869</v>
      </c>
      <c r="G70" s="1">
        <v>-0.25600000000000001</v>
      </c>
      <c r="H70" s="1">
        <v>9.3819999999999997</v>
      </c>
      <c r="I70" s="1">
        <v>0.872</v>
      </c>
      <c r="J70" s="1">
        <v>0</v>
      </c>
      <c r="K70" s="1">
        <v>-0.84099999999999997</v>
      </c>
      <c r="L70" s="3">
        <f>G70-F70*J70</f>
        <v>-0.25600000000000001</v>
      </c>
      <c r="M70" s="1">
        <v>0.58899999999999997</v>
      </c>
      <c r="N70" s="1">
        <v>0.67</v>
      </c>
      <c r="P70" s="1">
        <v>-0.27</v>
      </c>
      <c r="Q70" s="1">
        <v>0</v>
      </c>
      <c r="R70" s="1">
        <v>-4.0000000000000001E-3</v>
      </c>
      <c r="S70" s="1">
        <v>0.64900000000000002</v>
      </c>
      <c r="T70" s="1">
        <v>0.73</v>
      </c>
    </row>
    <row r="71" spans="1:20" x14ac:dyDescent="0.2">
      <c r="A71" t="s">
        <v>106</v>
      </c>
      <c r="B71" t="s">
        <v>103</v>
      </c>
      <c r="C71">
        <v>290</v>
      </c>
      <c r="D71" t="s">
        <v>107</v>
      </c>
      <c r="E71" t="s">
        <v>12</v>
      </c>
      <c r="F71">
        <v>17.259</v>
      </c>
      <c r="G71">
        <v>-0.57999999999999996</v>
      </c>
      <c r="H71">
        <v>25.838999999999999</v>
      </c>
      <c r="I71">
        <v>2.0819999999999999</v>
      </c>
      <c r="J71">
        <v>0</v>
      </c>
      <c r="K71">
        <v>-0.84099999999999997</v>
      </c>
      <c r="L71" s="2">
        <f t="shared" ref="L71:L134" si="0">G71-F71*J71</f>
        <v>-0.57999999999999996</v>
      </c>
      <c r="M71">
        <v>0.27</v>
      </c>
      <c r="N71">
        <v>0.35099999999999998</v>
      </c>
      <c r="O71">
        <v>0.35199999999999998</v>
      </c>
      <c r="P71">
        <v>-0.114</v>
      </c>
      <c r="Q71">
        <v>0</v>
      </c>
      <c r="R71">
        <v>-4.0000000000000001E-3</v>
      </c>
      <c r="S71">
        <v>0.312</v>
      </c>
      <c r="T71">
        <v>0.39300000000000002</v>
      </c>
    </row>
    <row r="72" spans="1:20" s="1" customFormat="1" x14ac:dyDescent="0.2">
      <c r="A72" s="1" t="s">
        <v>102</v>
      </c>
      <c r="B72" s="1" t="s">
        <v>103</v>
      </c>
      <c r="C72" s="1">
        <v>291</v>
      </c>
      <c r="D72" s="1" t="s">
        <v>108</v>
      </c>
      <c r="E72" s="1" t="s">
        <v>109</v>
      </c>
      <c r="F72" s="1">
        <v>0.83599999999999997</v>
      </c>
      <c r="G72" s="1">
        <v>-0.28399999999999997</v>
      </c>
      <c r="H72" s="1">
        <v>9.7880000000000003</v>
      </c>
      <c r="I72" s="1">
        <v>0.84899999999999998</v>
      </c>
      <c r="J72" s="1">
        <v>0</v>
      </c>
      <c r="K72" s="1">
        <v>-0.84099999999999997</v>
      </c>
      <c r="L72" s="3">
        <f t="shared" si="0"/>
        <v>-0.28399999999999997</v>
      </c>
      <c r="M72" s="1">
        <v>0.56000000000000005</v>
      </c>
      <c r="N72" s="1">
        <v>0.64100000000000001</v>
      </c>
      <c r="P72" s="1">
        <v>-0.32600000000000001</v>
      </c>
      <c r="Q72" s="1">
        <v>0</v>
      </c>
      <c r="R72" s="1">
        <v>-5.0000000000000001E-3</v>
      </c>
      <c r="S72" s="1">
        <v>0.61899999999999999</v>
      </c>
      <c r="T72" s="1">
        <v>0.7</v>
      </c>
    </row>
    <row r="73" spans="1:20" x14ac:dyDescent="0.2">
      <c r="A73" t="s">
        <v>2</v>
      </c>
      <c r="B73" t="s">
        <v>110</v>
      </c>
      <c r="C73">
        <v>292</v>
      </c>
      <c r="D73" t="s">
        <v>111</v>
      </c>
      <c r="E73" t="s">
        <v>112</v>
      </c>
      <c r="F73">
        <v>-0.35599999999999998</v>
      </c>
      <c r="G73">
        <v>-0.83099999999999996</v>
      </c>
      <c r="H73">
        <v>5.1280000000000001</v>
      </c>
      <c r="I73">
        <v>0.88200000000000001</v>
      </c>
      <c r="J73">
        <v>0</v>
      </c>
      <c r="K73">
        <v>-0.84099999999999997</v>
      </c>
      <c r="L73" s="2">
        <f t="shared" si="0"/>
        <v>-0.83099999999999996</v>
      </c>
      <c r="M73">
        <v>0.01</v>
      </c>
      <c r="P73">
        <v>5.0000000000000001E-3</v>
      </c>
      <c r="Q73">
        <v>0</v>
      </c>
      <c r="R73">
        <v>-5.0000000000000001E-3</v>
      </c>
      <c r="S73">
        <v>3.7999999999999999E-2</v>
      </c>
    </row>
    <row r="74" spans="1:20" s="1" customFormat="1" x14ac:dyDescent="0.2">
      <c r="A74" s="1" t="s">
        <v>102</v>
      </c>
      <c r="B74" s="1" t="s">
        <v>110</v>
      </c>
      <c r="C74" s="1">
        <v>293</v>
      </c>
      <c r="D74" s="1" t="s">
        <v>113</v>
      </c>
      <c r="E74" s="1" t="s">
        <v>114</v>
      </c>
      <c r="F74" s="1">
        <v>1.377</v>
      </c>
      <c r="G74" s="1">
        <v>-0.23100000000000001</v>
      </c>
      <c r="H74" s="1">
        <v>8.4039999999999999</v>
      </c>
      <c r="I74" s="1">
        <v>0.69</v>
      </c>
      <c r="J74" s="1">
        <v>0</v>
      </c>
      <c r="K74" s="1">
        <v>-0.84099999999999997</v>
      </c>
      <c r="L74" s="3">
        <f t="shared" si="0"/>
        <v>-0.23100000000000001</v>
      </c>
      <c r="M74" s="1">
        <v>0.61399999999999999</v>
      </c>
      <c r="N74" s="1">
        <v>0.69499999999999995</v>
      </c>
      <c r="P74" s="1">
        <v>-0.40200000000000002</v>
      </c>
      <c r="Q74" s="1">
        <v>0</v>
      </c>
      <c r="R74" s="1">
        <v>-5.0000000000000001E-3</v>
      </c>
      <c r="S74" s="1">
        <v>0.67500000000000004</v>
      </c>
      <c r="T74" s="1">
        <v>0.75600000000000001</v>
      </c>
    </row>
    <row r="75" spans="1:20" s="1" customFormat="1" x14ac:dyDescent="0.2">
      <c r="A75" s="1" t="s">
        <v>102</v>
      </c>
      <c r="B75" s="1" t="s">
        <v>110</v>
      </c>
      <c r="C75" s="1">
        <v>294</v>
      </c>
      <c r="D75" s="1" t="s">
        <v>115</v>
      </c>
      <c r="E75" s="1" t="s">
        <v>109</v>
      </c>
      <c r="F75" s="1">
        <v>0.89100000000000001</v>
      </c>
      <c r="G75" s="1">
        <v>-0.251</v>
      </c>
      <c r="H75" s="1">
        <v>9.7759999999999998</v>
      </c>
      <c r="I75" s="1">
        <v>0.82399999999999995</v>
      </c>
      <c r="J75" s="1">
        <v>0</v>
      </c>
      <c r="K75" s="1">
        <v>-0.84099999999999997</v>
      </c>
      <c r="L75" s="3">
        <f t="shared" si="0"/>
        <v>-0.251</v>
      </c>
      <c r="M75" s="1">
        <v>0.59299999999999997</v>
      </c>
      <c r="N75" s="1">
        <v>0.67400000000000004</v>
      </c>
      <c r="P75" s="1">
        <v>-0.36</v>
      </c>
      <c r="Q75" s="1">
        <v>0</v>
      </c>
      <c r="R75" s="1">
        <v>-5.0000000000000001E-3</v>
      </c>
      <c r="S75" s="1">
        <v>0.65400000000000003</v>
      </c>
      <c r="T75" s="1">
        <v>0.73499999999999999</v>
      </c>
    </row>
    <row r="76" spans="1:20" s="1" customFormat="1" x14ac:dyDescent="0.2">
      <c r="A76" s="1" t="s">
        <v>102</v>
      </c>
      <c r="B76" s="1" t="s">
        <v>110</v>
      </c>
      <c r="C76" s="1">
        <v>295</v>
      </c>
      <c r="D76" s="1" t="s">
        <v>116</v>
      </c>
      <c r="E76" s="1" t="s">
        <v>114</v>
      </c>
      <c r="F76" s="1">
        <v>1.5349999999999999</v>
      </c>
      <c r="G76" s="1">
        <v>-0.26700000000000002</v>
      </c>
      <c r="H76" s="1">
        <v>8.4960000000000004</v>
      </c>
      <c r="I76" s="1">
        <v>0.71899999999999997</v>
      </c>
      <c r="J76" s="1">
        <v>0</v>
      </c>
      <c r="K76" s="1">
        <v>-0.84099999999999997</v>
      </c>
      <c r="L76" s="3">
        <f t="shared" si="0"/>
        <v>-0.26700000000000002</v>
      </c>
      <c r="M76" s="1">
        <v>0.57799999999999996</v>
      </c>
      <c r="N76" s="1">
        <v>0.65900000000000003</v>
      </c>
      <c r="P76" s="1">
        <v>-0.38400000000000001</v>
      </c>
      <c r="Q76" s="1">
        <v>0</v>
      </c>
      <c r="R76" s="1">
        <v>-5.0000000000000001E-3</v>
      </c>
      <c r="S76" s="1">
        <v>0.63700000000000001</v>
      </c>
      <c r="T76" s="1">
        <v>0.71799999999999997</v>
      </c>
    </row>
    <row r="77" spans="1:20" s="1" customFormat="1" x14ac:dyDescent="0.2">
      <c r="A77" s="1" t="s">
        <v>102</v>
      </c>
      <c r="B77" s="1" t="s">
        <v>110</v>
      </c>
      <c r="C77" s="1">
        <v>296</v>
      </c>
      <c r="D77" s="1" t="s">
        <v>117</v>
      </c>
      <c r="E77" s="1" t="s">
        <v>105</v>
      </c>
      <c r="F77" s="1">
        <v>1.784</v>
      </c>
      <c r="G77" s="1">
        <v>-0.26600000000000001</v>
      </c>
      <c r="H77" s="1">
        <v>9.3179999999999996</v>
      </c>
      <c r="I77" s="1">
        <v>0.92</v>
      </c>
      <c r="J77" s="1">
        <v>0</v>
      </c>
      <c r="K77" s="1">
        <v>-0.84099999999999997</v>
      </c>
      <c r="L77" s="3">
        <f t="shared" si="0"/>
        <v>-0.26600000000000001</v>
      </c>
      <c r="M77" s="1">
        <v>0.57899999999999996</v>
      </c>
      <c r="N77" s="1">
        <v>0.66</v>
      </c>
      <c r="P77" s="1">
        <v>-0.24099999999999999</v>
      </c>
      <c r="Q77" s="1">
        <v>0</v>
      </c>
      <c r="R77" s="1">
        <v>-5.0000000000000001E-3</v>
      </c>
      <c r="S77" s="1">
        <v>0.63900000000000001</v>
      </c>
      <c r="T77" s="1">
        <v>0.72</v>
      </c>
    </row>
    <row r="78" spans="1:20" x14ac:dyDescent="0.2">
      <c r="A78" t="s">
        <v>118</v>
      </c>
      <c r="B78" t="s">
        <v>119</v>
      </c>
      <c r="C78">
        <v>297</v>
      </c>
      <c r="D78" t="s">
        <v>120</v>
      </c>
      <c r="E78" t="s">
        <v>100</v>
      </c>
      <c r="F78">
        <v>-2.1160000000000001</v>
      </c>
      <c r="G78">
        <v>-7.0000000000000001E-3</v>
      </c>
      <c r="H78">
        <v>-0.19600000000000001</v>
      </c>
      <c r="I78">
        <v>-0.09</v>
      </c>
      <c r="J78">
        <v>0</v>
      </c>
      <c r="K78">
        <v>-0.84199999999999997</v>
      </c>
      <c r="L78" s="2">
        <f t="shared" si="0"/>
        <v>-7.0000000000000001E-3</v>
      </c>
      <c r="M78">
        <v>0.83799999999999997</v>
      </c>
      <c r="P78">
        <v>-0.623</v>
      </c>
      <c r="Q78">
        <v>0</v>
      </c>
      <c r="R78">
        <v>-5.0000000000000001E-3</v>
      </c>
      <c r="S78">
        <v>0.91200000000000003</v>
      </c>
    </row>
    <row r="79" spans="1:20" x14ac:dyDescent="0.2">
      <c r="A79" t="s">
        <v>106</v>
      </c>
      <c r="B79" t="s">
        <v>119</v>
      </c>
      <c r="C79">
        <v>298</v>
      </c>
      <c r="D79" t="s">
        <v>121</v>
      </c>
      <c r="E79" t="s">
        <v>6</v>
      </c>
      <c r="F79">
        <v>2.8839999999999999</v>
      </c>
      <c r="G79">
        <v>-0.29699999999999999</v>
      </c>
      <c r="H79">
        <v>-1.4570000000000001</v>
      </c>
      <c r="I79">
        <v>0.154</v>
      </c>
      <c r="J79">
        <v>0</v>
      </c>
      <c r="K79">
        <v>-0.84199999999999997</v>
      </c>
      <c r="L79" s="2">
        <f t="shared" si="0"/>
        <v>-0.29699999999999999</v>
      </c>
      <c r="M79">
        <v>0.54800000000000004</v>
      </c>
      <c r="N79">
        <v>0.629</v>
      </c>
      <c r="O79">
        <v>0.65</v>
      </c>
      <c r="P79">
        <v>-0.29499999999999998</v>
      </c>
      <c r="Q79">
        <v>0</v>
      </c>
      <c r="R79">
        <v>-5.0000000000000001E-3</v>
      </c>
      <c r="S79">
        <v>0.60599999999999998</v>
      </c>
      <c r="T79">
        <v>0.68700000000000006</v>
      </c>
    </row>
    <row r="80" spans="1:20" s="1" customFormat="1" x14ac:dyDescent="0.2">
      <c r="A80" s="1" t="s">
        <v>102</v>
      </c>
      <c r="B80" s="1" t="s">
        <v>119</v>
      </c>
      <c r="C80" s="1">
        <v>299</v>
      </c>
      <c r="D80" s="1" t="s">
        <v>122</v>
      </c>
      <c r="E80" s="1" t="s">
        <v>123</v>
      </c>
      <c r="F80" s="1">
        <v>0.01</v>
      </c>
      <c r="G80" s="1">
        <v>-0.248</v>
      </c>
      <c r="H80" s="1">
        <v>8.657</v>
      </c>
      <c r="I80" s="1">
        <v>0.74099999999999999</v>
      </c>
      <c r="J80" s="1">
        <v>0</v>
      </c>
      <c r="K80" s="1">
        <v>-0.84199999999999997</v>
      </c>
      <c r="L80" s="3">
        <f t="shared" si="0"/>
        <v>-0.248</v>
      </c>
      <c r="M80" s="1">
        <v>0.59599999999999997</v>
      </c>
      <c r="N80" s="1">
        <v>0.67700000000000005</v>
      </c>
      <c r="P80" s="1">
        <v>-0.38500000000000001</v>
      </c>
      <c r="Q80" s="1">
        <v>0</v>
      </c>
      <c r="R80" s="1">
        <v>-6.0000000000000001E-3</v>
      </c>
      <c r="S80" s="1">
        <v>0.65700000000000003</v>
      </c>
      <c r="T80" s="1">
        <v>0.73799999999999999</v>
      </c>
    </row>
    <row r="81" spans="1:20" s="1" customFormat="1" x14ac:dyDescent="0.2">
      <c r="A81" s="1" t="s">
        <v>102</v>
      </c>
      <c r="B81" s="1" t="s">
        <v>119</v>
      </c>
      <c r="C81" s="1">
        <v>300</v>
      </c>
      <c r="D81" s="1" t="s">
        <v>124</v>
      </c>
      <c r="E81" s="1" t="s">
        <v>125</v>
      </c>
      <c r="F81" s="1">
        <v>1.341</v>
      </c>
      <c r="G81" s="1">
        <v>-0.249</v>
      </c>
      <c r="H81" s="1">
        <v>10.314</v>
      </c>
      <c r="I81" s="1">
        <v>0.89700000000000002</v>
      </c>
      <c r="J81" s="1">
        <v>0</v>
      </c>
      <c r="K81" s="1">
        <v>-0.84199999999999997</v>
      </c>
      <c r="L81" s="3">
        <f t="shared" si="0"/>
        <v>-0.249</v>
      </c>
      <c r="M81" s="1">
        <v>0.59599999999999997</v>
      </c>
      <c r="N81" s="1">
        <v>0.67700000000000005</v>
      </c>
      <c r="P81" s="1">
        <v>-0.34399999999999997</v>
      </c>
      <c r="Q81" s="1">
        <v>0</v>
      </c>
      <c r="R81" s="1">
        <v>-6.0000000000000001E-3</v>
      </c>
      <c r="S81" s="1">
        <v>0.65700000000000003</v>
      </c>
      <c r="T81" s="1">
        <v>0.73799999999999999</v>
      </c>
    </row>
    <row r="82" spans="1:20" s="1" customFormat="1" x14ac:dyDescent="0.2">
      <c r="A82" s="1" t="s">
        <v>102</v>
      </c>
      <c r="B82" s="1" t="s">
        <v>119</v>
      </c>
      <c r="C82" s="1">
        <v>301</v>
      </c>
      <c r="D82" s="1" t="s">
        <v>126</v>
      </c>
      <c r="E82" s="1" t="s">
        <v>123</v>
      </c>
      <c r="F82" s="1">
        <v>0.16</v>
      </c>
      <c r="G82" s="1">
        <v>-0.27200000000000002</v>
      </c>
      <c r="H82" s="1">
        <v>9.0150000000000006</v>
      </c>
      <c r="I82" s="1">
        <v>0.73599999999999999</v>
      </c>
      <c r="J82" s="1">
        <v>0</v>
      </c>
      <c r="K82" s="1">
        <v>-0.84199999999999997</v>
      </c>
      <c r="L82" s="3">
        <f t="shared" si="0"/>
        <v>-0.27200000000000002</v>
      </c>
      <c r="M82" s="1">
        <v>0.57199999999999995</v>
      </c>
      <c r="N82" s="1">
        <v>0.65300000000000002</v>
      </c>
      <c r="P82" s="1">
        <v>-0.42</v>
      </c>
      <c r="Q82" s="1">
        <v>0</v>
      </c>
      <c r="R82" s="1">
        <v>-6.0000000000000001E-3</v>
      </c>
      <c r="S82" s="1">
        <v>0.63200000000000001</v>
      </c>
      <c r="T82" s="1">
        <v>0.71299999999999997</v>
      </c>
    </row>
    <row r="83" spans="1:20" x14ac:dyDescent="0.2">
      <c r="A83" t="s">
        <v>2</v>
      </c>
      <c r="B83" t="s">
        <v>127</v>
      </c>
      <c r="C83">
        <v>302</v>
      </c>
      <c r="D83" t="s">
        <v>128</v>
      </c>
      <c r="E83" t="s">
        <v>129</v>
      </c>
      <c r="F83">
        <v>-0.155</v>
      </c>
      <c r="G83">
        <v>-0.84</v>
      </c>
      <c r="H83">
        <v>5.0670000000000002</v>
      </c>
      <c r="I83">
        <v>0.78900000000000003</v>
      </c>
      <c r="J83">
        <v>0</v>
      </c>
      <c r="K83">
        <v>-0.84199999999999997</v>
      </c>
      <c r="L83" s="2">
        <f t="shared" si="0"/>
        <v>-0.84</v>
      </c>
      <c r="M83">
        <v>2E-3</v>
      </c>
      <c r="P83">
        <v>-0.10199999999999999</v>
      </c>
      <c r="Q83">
        <v>0</v>
      </c>
      <c r="R83">
        <v>-6.0000000000000001E-3</v>
      </c>
      <c r="S83">
        <v>2.9000000000000001E-2</v>
      </c>
    </row>
    <row r="84" spans="1:20" s="1" customFormat="1" x14ac:dyDescent="0.2">
      <c r="A84" s="1" t="s">
        <v>102</v>
      </c>
      <c r="B84" s="1" t="s">
        <v>127</v>
      </c>
      <c r="C84" s="1">
        <v>303</v>
      </c>
      <c r="D84" s="1" t="s">
        <v>130</v>
      </c>
      <c r="E84" s="1" t="s">
        <v>125</v>
      </c>
      <c r="F84" s="1">
        <v>1.212</v>
      </c>
      <c r="G84" s="1">
        <v>-0.26300000000000001</v>
      </c>
      <c r="H84" s="1">
        <v>10.086</v>
      </c>
      <c r="I84" s="1">
        <v>0.92400000000000004</v>
      </c>
      <c r="J84" s="1">
        <v>0</v>
      </c>
      <c r="K84" s="1">
        <v>-0.84199999999999997</v>
      </c>
      <c r="L84" s="3">
        <f t="shared" si="0"/>
        <v>-0.26300000000000001</v>
      </c>
      <c r="M84" s="1">
        <v>0.58199999999999996</v>
      </c>
      <c r="N84" s="1">
        <v>0.66300000000000003</v>
      </c>
      <c r="P84" s="1">
        <v>-0.312</v>
      </c>
      <c r="Q84" s="1">
        <v>0</v>
      </c>
      <c r="R84" s="1">
        <v>-6.0000000000000001E-3</v>
      </c>
      <c r="S84" s="1">
        <v>0.64200000000000002</v>
      </c>
      <c r="T84" s="1">
        <v>0.72299999999999998</v>
      </c>
    </row>
    <row r="85" spans="1:20" x14ac:dyDescent="0.2">
      <c r="A85" t="s">
        <v>106</v>
      </c>
      <c r="B85" t="s">
        <v>127</v>
      </c>
      <c r="C85">
        <v>304</v>
      </c>
      <c r="D85" t="s">
        <v>131</v>
      </c>
      <c r="E85" t="s">
        <v>12</v>
      </c>
      <c r="F85">
        <v>17.379000000000001</v>
      </c>
      <c r="G85">
        <v>-0.56999999999999995</v>
      </c>
      <c r="H85">
        <v>26.187000000000001</v>
      </c>
      <c r="I85">
        <v>2.3580000000000001</v>
      </c>
      <c r="J85">
        <v>0</v>
      </c>
      <c r="K85">
        <v>-0.84199999999999997</v>
      </c>
      <c r="L85" s="2">
        <f t="shared" si="0"/>
        <v>-0.56999999999999995</v>
      </c>
      <c r="M85">
        <v>0.27700000000000002</v>
      </c>
      <c r="N85">
        <v>0.35799999999999998</v>
      </c>
      <c r="O85">
        <v>0.35199999999999998</v>
      </c>
      <c r="P85">
        <v>8.9999999999999993E-3</v>
      </c>
      <c r="Q85">
        <v>0</v>
      </c>
      <c r="R85">
        <v>-6.0000000000000001E-3</v>
      </c>
      <c r="S85">
        <v>0.32</v>
      </c>
      <c r="T85">
        <v>0.40100000000000002</v>
      </c>
    </row>
    <row r="86" spans="1:20" s="1" customFormat="1" x14ac:dyDescent="0.2">
      <c r="A86" s="1" t="s">
        <v>102</v>
      </c>
      <c r="B86" s="1" t="s">
        <v>127</v>
      </c>
      <c r="C86" s="1">
        <v>305</v>
      </c>
      <c r="D86" s="1" t="s">
        <v>132</v>
      </c>
      <c r="E86" s="1" t="s">
        <v>133</v>
      </c>
      <c r="F86" s="1">
        <v>6.9710000000000001</v>
      </c>
      <c r="G86" s="1">
        <v>-0.252</v>
      </c>
      <c r="H86" s="1">
        <v>9.7439999999999998</v>
      </c>
      <c r="I86" s="1">
        <v>0.95899999999999996</v>
      </c>
      <c r="J86" s="1">
        <v>0</v>
      </c>
      <c r="K86" s="1">
        <v>-0.84199999999999997</v>
      </c>
      <c r="L86" s="3">
        <f t="shared" si="0"/>
        <v>-0.252</v>
      </c>
      <c r="M86" s="1">
        <v>0.59399999999999997</v>
      </c>
      <c r="N86" s="1">
        <v>0.67500000000000004</v>
      </c>
      <c r="P86" s="1">
        <v>-0.26100000000000001</v>
      </c>
      <c r="Q86" s="1">
        <v>0</v>
      </c>
      <c r="R86" s="1">
        <v>-6.0000000000000001E-3</v>
      </c>
      <c r="S86" s="1">
        <v>0.65500000000000003</v>
      </c>
      <c r="T86" s="1">
        <v>0.73599999999999999</v>
      </c>
    </row>
    <row r="87" spans="1:20" s="1" customFormat="1" x14ac:dyDescent="0.2">
      <c r="A87" s="1" t="s">
        <v>102</v>
      </c>
      <c r="B87" s="1" t="s">
        <v>127</v>
      </c>
      <c r="C87" s="1">
        <v>306</v>
      </c>
      <c r="D87" s="1" t="s">
        <v>134</v>
      </c>
      <c r="E87" s="1" t="s">
        <v>133</v>
      </c>
      <c r="F87" s="1">
        <v>7</v>
      </c>
      <c r="G87" s="1">
        <v>-0.23400000000000001</v>
      </c>
      <c r="H87" s="1">
        <v>9.6910000000000007</v>
      </c>
      <c r="I87" s="1">
        <v>0.86399999999999999</v>
      </c>
      <c r="J87" s="1">
        <v>0</v>
      </c>
      <c r="K87" s="1">
        <v>-0.84199999999999997</v>
      </c>
      <c r="L87" s="3">
        <f t="shared" si="0"/>
        <v>-0.23400000000000001</v>
      </c>
      <c r="M87" s="1">
        <v>0.61199999999999999</v>
      </c>
      <c r="N87" s="1">
        <v>0.69299999999999995</v>
      </c>
      <c r="P87" s="1">
        <v>-0.35599999999999998</v>
      </c>
      <c r="Q87" s="1">
        <v>1E-3</v>
      </c>
      <c r="R87" s="1">
        <v>-6.0000000000000001E-3</v>
      </c>
      <c r="S87" s="1">
        <v>0.67400000000000004</v>
      </c>
      <c r="T87" s="1">
        <v>0.755</v>
      </c>
    </row>
    <row r="88" spans="1:20" s="1" customFormat="1" x14ac:dyDescent="0.2">
      <c r="A88" s="1" t="s">
        <v>102</v>
      </c>
      <c r="B88" s="1" t="s">
        <v>127</v>
      </c>
      <c r="C88" s="1">
        <v>307</v>
      </c>
      <c r="D88" s="1" t="s">
        <v>135</v>
      </c>
      <c r="E88" s="1" t="s">
        <v>125</v>
      </c>
      <c r="F88" s="1">
        <v>1.24</v>
      </c>
      <c r="G88" s="1">
        <v>-0.245</v>
      </c>
      <c r="H88" s="1">
        <v>9.9779999999999998</v>
      </c>
      <c r="I88" s="1">
        <v>0.83899999999999997</v>
      </c>
      <c r="J88" s="1">
        <v>0</v>
      </c>
      <c r="K88" s="1">
        <v>-0.84199999999999997</v>
      </c>
      <c r="L88" s="3">
        <f t="shared" si="0"/>
        <v>-0.245</v>
      </c>
      <c r="M88" s="1">
        <v>0.6</v>
      </c>
      <c r="N88" s="1">
        <v>0.68100000000000005</v>
      </c>
      <c r="P88" s="1">
        <v>-0.40400000000000003</v>
      </c>
      <c r="Q88" s="1">
        <v>1E-3</v>
      </c>
      <c r="R88" s="1">
        <v>-6.0000000000000001E-3</v>
      </c>
      <c r="S88" s="1">
        <v>0.66200000000000003</v>
      </c>
      <c r="T88" s="1">
        <v>0.74299999999999999</v>
      </c>
    </row>
    <row r="89" spans="1:20" s="1" customFormat="1" x14ac:dyDescent="0.2">
      <c r="A89" s="1" t="s">
        <v>102</v>
      </c>
      <c r="B89" s="1" t="s">
        <v>136</v>
      </c>
      <c r="C89" s="1">
        <v>308</v>
      </c>
      <c r="D89" s="1" t="s">
        <v>137</v>
      </c>
      <c r="E89" s="1" t="s">
        <v>133</v>
      </c>
      <c r="F89" s="1">
        <v>6.9359999999999999</v>
      </c>
      <c r="G89" s="1">
        <v>-0.23300000000000001</v>
      </c>
      <c r="H89" s="1">
        <v>9.8710000000000004</v>
      </c>
      <c r="I89" s="1">
        <v>0.91900000000000004</v>
      </c>
      <c r="J89" s="1">
        <v>0</v>
      </c>
      <c r="K89" s="1">
        <v>-0.84199999999999997</v>
      </c>
      <c r="L89" s="3">
        <f t="shared" si="0"/>
        <v>-0.23300000000000001</v>
      </c>
      <c r="M89" s="1">
        <v>0.61299999999999999</v>
      </c>
      <c r="N89" s="1">
        <v>0.69399999999999995</v>
      </c>
      <c r="P89" s="1">
        <v>-0.32</v>
      </c>
      <c r="Q89" s="1">
        <v>1E-3</v>
      </c>
      <c r="R89" s="1">
        <v>-7.0000000000000001E-3</v>
      </c>
      <c r="S89" s="1">
        <v>0.67600000000000005</v>
      </c>
      <c r="T89" s="1">
        <v>0.75700000000000001</v>
      </c>
    </row>
    <row r="90" spans="1:20" x14ac:dyDescent="0.2">
      <c r="A90" t="s">
        <v>2</v>
      </c>
      <c r="B90" t="s">
        <v>136</v>
      </c>
      <c r="C90">
        <v>309</v>
      </c>
      <c r="D90" t="s">
        <v>138</v>
      </c>
      <c r="E90" t="s">
        <v>139</v>
      </c>
      <c r="F90">
        <v>14.779</v>
      </c>
      <c r="G90">
        <v>-0.86199999999999999</v>
      </c>
      <c r="H90">
        <v>37.807000000000002</v>
      </c>
      <c r="I90">
        <v>3.4180000000000001</v>
      </c>
      <c r="J90">
        <v>0</v>
      </c>
      <c r="K90">
        <v>-0.84199999999999997</v>
      </c>
      <c r="L90" s="2">
        <f t="shared" si="0"/>
        <v>-0.86199999999999999</v>
      </c>
      <c r="M90">
        <v>-1.7000000000000001E-2</v>
      </c>
      <c r="P90">
        <v>0.2</v>
      </c>
      <c r="Q90">
        <v>1E-3</v>
      </c>
      <c r="R90">
        <v>-7.0000000000000001E-3</v>
      </c>
      <c r="S90">
        <v>8.9999999999999993E-3</v>
      </c>
    </row>
    <row r="91" spans="1:20" s="1" customFormat="1" x14ac:dyDescent="0.2">
      <c r="A91" s="1" t="s">
        <v>102</v>
      </c>
      <c r="B91" s="1" t="s">
        <v>136</v>
      </c>
      <c r="C91" s="1">
        <v>310</v>
      </c>
      <c r="D91" s="1" t="s">
        <v>140</v>
      </c>
      <c r="E91" s="1" t="s">
        <v>123</v>
      </c>
      <c r="F91" s="1">
        <v>-5.0000000000000001E-3</v>
      </c>
      <c r="G91" s="1">
        <v>-0.24099999999999999</v>
      </c>
      <c r="H91" s="1">
        <v>8.4969999999999999</v>
      </c>
      <c r="I91" s="1">
        <v>0.68400000000000005</v>
      </c>
      <c r="J91" s="1">
        <v>0</v>
      </c>
      <c r="K91" s="1">
        <v>-0.84199999999999997</v>
      </c>
      <c r="L91" s="3">
        <f t="shared" si="0"/>
        <v>-0.24099999999999999</v>
      </c>
      <c r="M91" s="1">
        <v>0.60299999999999998</v>
      </c>
      <c r="N91" s="1">
        <v>0.68400000000000005</v>
      </c>
      <c r="P91" s="1">
        <v>-0.46500000000000002</v>
      </c>
      <c r="Q91" s="1">
        <v>1E-3</v>
      </c>
      <c r="R91" s="1">
        <v>-7.0000000000000001E-3</v>
      </c>
      <c r="S91" s="1">
        <v>0.66600000000000004</v>
      </c>
      <c r="T91" s="1">
        <v>0.747</v>
      </c>
    </row>
    <row r="92" spans="1:20" x14ac:dyDescent="0.2">
      <c r="A92" t="s">
        <v>106</v>
      </c>
      <c r="B92" t="s">
        <v>136</v>
      </c>
      <c r="C92">
        <v>311</v>
      </c>
      <c r="D92" t="s">
        <v>141</v>
      </c>
      <c r="E92" t="s">
        <v>12</v>
      </c>
      <c r="F92">
        <v>17.311</v>
      </c>
      <c r="G92">
        <v>-0.56000000000000005</v>
      </c>
      <c r="H92">
        <v>26.108000000000001</v>
      </c>
      <c r="I92">
        <v>2.3570000000000002</v>
      </c>
      <c r="J92">
        <v>0</v>
      </c>
      <c r="K92">
        <v>-0.84299999999999997</v>
      </c>
      <c r="L92" s="2">
        <f t="shared" si="0"/>
        <v>-0.56000000000000005</v>
      </c>
      <c r="M92">
        <v>0.28599999999999998</v>
      </c>
      <c r="N92">
        <v>0.36699999999999999</v>
      </c>
      <c r="O92">
        <v>0.35199999999999998</v>
      </c>
      <c r="P92">
        <v>-5.3999999999999999E-2</v>
      </c>
      <c r="Q92">
        <v>1E-3</v>
      </c>
      <c r="R92">
        <v>-7.0000000000000001E-3</v>
      </c>
      <c r="S92">
        <v>0.33</v>
      </c>
      <c r="T92">
        <v>0.41099999999999998</v>
      </c>
    </row>
    <row r="93" spans="1:20" x14ac:dyDescent="0.2">
      <c r="A93" t="s">
        <v>106</v>
      </c>
      <c r="B93" t="s">
        <v>136</v>
      </c>
      <c r="C93">
        <v>317</v>
      </c>
      <c r="D93" t="s">
        <v>142</v>
      </c>
      <c r="E93" t="s">
        <v>6</v>
      </c>
      <c r="F93">
        <v>2.9260000000000002</v>
      </c>
      <c r="G93">
        <v>-0.27900000000000003</v>
      </c>
      <c r="H93">
        <v>-1.5880000000000001</v>
      </c>
      <c r="I93">
        <v>6.0000000000000001E-3</v>
      </c>
      <c r="J93">
        <v>0</v>
      </c>
      <c r="K93">
        <v>-0.84299999999999997</v>
      </c>
      <c r="L93" s="2">
        <f t="shared" si="0"/>
        <v>-0.27900000000000003</v>
      </c>
      <c r="M93">
        <v>0.56599999999999995</v>
      </c>
      <c r="N93">
        <v>0.64700000000000002</v>
      </c>
      <c r="O93">
        <v>0.65</v>
      </c>
      <c r="P93">
        <v>-0.42199999999999999</v>
      </c>
      <c r="Q93">
        <v>1E-3</v>
      </c>
      <c r="R93">
        <v>-7.0000000000000001E-3</v>
      </c>
      <c r="S93">
        <v>0.626</v>
      </c>
      <c r="T93">
        <v>0.70699999999999996</v>
      </c>
    </row>
    <row r="94" spans="1:20" x14ac:dyDescent="0.2">
      <c r="A94" t="s">
        <v>2</v>
      </c>
      <c r="B94" t="s">
        <v>143</v>
      </c>
      <c r="C94">
        <v>322</v>
      </c>
      <c r="D94" t="s">
        <v>144</v>
      </c>
      <c r="E94" t="s">
        <v>145</v>
      </c>
      <c r="F94">
        <v>15.04</v>
      </c>
      <c r="G94">
        <v>-0.83499999999999996</v>
      </c>
      <c r="H94">
        <v>38.441000000000003</v>
      </c>
      <c r="I94">
        <v>3.6890000000000001</v>
      </c>
      <c r="J94">
        <v>0</v>
      </c>
      <c r="K94">
        <v>-0.84299999999999997</v>
      </c>
      <c r="L94" s="2">
        <f t="shared" si="0"/>
        <v>-0.83499999999999996</v>
      </c>
      <c r="M94">
        <v>8.0000000000000002E-3</v>
      </c>
      <c r="P94">
        <v>0.23599999999999999</v>
      </c>
      <c r="Q94">
        <v>1E-3</v>
      </c>
      <c r="R94">
        <v>-8.0000000000000002E-3</v>
      </c>
      <c r="S94">
        <v>3.5000000000000003E-2</v>
      </c>
    </row>
    <row r="95" spans="1:20" x14ac:dyDescent="0.2">
      <c r="A95" t="s">
        <v>106</v>
      </c>
      <c r="B95" t="s">
        <v>143</v>
      </c>
      <c r="C95">
        <v>323</v>
      </c>
      <c r="D95" t="s">
        <v>146</v>
      </c>
      <c r="E95" t="s">
        <v>12</v>
      </c>
      <c r="F95">
        <v>17.376000000000001</v>
      </c>
      <c r="G95">
        <v>-0.57899999999999996</v>
      </c>
      <c r="H95">
        <v>26.431999999999999</v>
      </c>
      <c r="I95">
        <v>2.6030000000000002</v>
      </c>
      <c r="J95">
        <v>0</v>
      </c>
      <c r="K95">
        <v>-0.84299999999999997</v>
      </c>
      <c r="L95" s="2">
        <f t="shared" si="0"/>
        <v>-0.57899999999999996</v>
      </c>
      <c r="M95">
        <v>0.26400000000000001</v>
      </c>
      <c r="N95">
        <v>0.34499999999999997</v>
      </c>
      <c r="O95">
        <v>0.35199999999999998</v>
      </c>
      <c r="P95">
        <v>4.9000000000000002E-2</v>
      </c>
      <c r="Q95">
        <v>1E-3</v>
      </c>
      <c r="R95">
        <v>-8.0000000000000002E-3</v>
      </c>
      <c r="S95">
        <v>0.307</v>
      </c>
      <c r="T95">
        <v>0.38800000000000001</v>
      </c>
    </row>
    <row r="96" spans="1:20" x14ac:dyDescent="0.2">
      <c r="A96" t="s">
        <v>106</v>
      </c>
      <c r="B96" t="s">
        <v>143</v>
      </c>
      <c r="C96">
        <v>326</v>
      </c>
      <c r="D96" t="s">
        <v>147</v>
      </c>
      <c r="E96" t="s">
        <v>12</v>
      </c>
      <c r="F96">
        <v>17.41</v>
      </c>
      <c r="G96">
        <v>-0.54500000000000004</v>
      </c>
      <c r="H96">
        <v>26.538</v>
      </c>
      <c r="I96">
        <v>2.6480000000000001</v>
      </c>
      <c r="J96">
        <v>0</v>
      </c>
      <c r="K96">
        <v>-0.84399999999999997</v>
      </c>
      <c r="L96" s="2">
        <f t="shared" si="0"/>
        <v>-0.54500000000000004</v>
      </c>
      <c r="M96">
        <v>0.29799999999999999</v>
      </c>
      <c r="N96">
        <v>0.379</v>
      </c>
      <c r="O96">
        <v>0.35199999999999998</v>
      </c>
      <c r="P96">
        <v>5.5E-2</v>
      </c>
      <c r="Q96">
        <v>1E-3</v>
      </c>
      <c r="R96">
        <v>-8.0000000000000002E-3</v>
      </c>
      <c r="S96">
        <v>0.34300000000000003</v>
      </c>
      <c r="T96">
        <v>0.42399999999999999</v>
      </c>
    </row>
    <row r="97" spans="1:20" x14ac:dyDescent="0.2">
      <c r="A97" t="s">
        <v>118</v>
      </c>
      <c r="B97" t="s">
        <v>148</v>
      </c>
      <c r="C97">
        <v>329</v>
      </c>
      <c r="D97" t="s">
        <v>149</v>
      </c>
      <c r="E97" t="s">
        <v>100</v>
      </c>
      <c r="F97">
        <v>-2.0960000000000001</v>
      </c>
      <c r="G97">
        <v>1.2999999999999999E-2</v>
      </c>
      <c r="H97">
        <v>-1.4999999999999999E-2</v>
      </c>
      <c r="I97">
        <v>7.2999999999999995E-2</v>
      </c>
      <c r="J97">
        <v>0</v>
      </c>
      <c r="K97">
        <v>-0.84399999999999997</v>
      </c>
      <c r="L97" s="2">
        <f t="shared" si="0"/>
        <v>1.2999999999999999E-2</v>
      </c>
      <c r="M97">
        <v>0.85899999999999999</v>
      </c>
      <c r="P97">
        <v>-0.47</v>
      </c>
      <c r="Q97">
        <v>1E-3</v>
      </c>
      <c r="R97">
        <v>-8.0000000000000002E-3</v>
      </c>
      <c r="S97">
        <v>0.93799999999999994</v>
      </c>
    </row>
    <row r="98" spans="1:20" x14ac:dyDescent="0.2">
      <c r="A98" t="s">
        <v>106</v>
      </c>
      <c r="B98" t="s">
        <v>148</v>
      </c>
      <c r="C98">
        <v>331</v>
      </c>
      <c r="D98" t="s">
        <v>150</v>
      </c>
      <c r="E98" t="s">
        <v>6</v>
      </c>
      <c r="F98">
        <v>3.0230000000000001</v>
      </c>
      <c r="G98">
        <v>-0.26400000000000001</v>
      </c>
      <c r="H98">
        <v>-1.319</v>
      </c>
      <c r="I98">
        <v>0.182</v>
      </c>
      <c r="J98">
        <v>0</v>
      </c>
      <c r="K98">
        <v>-0.84399999999999997</v>
      </c>
      <c r="L98" s="2">
        <f t="shared" si="0"/>
        <v>-0.26400000000000001</v>
      </c>
      <c r="M98">
        <v>0.57999999999999996</v>
      </c>
      <c r="N98">
        <v>0.66100000000000003</v>
      </c>
      <c r="O98">
        <v>0.65</v>
      </c>
      <c r="P98">
        <v>-0.25800000000000001</v>
      </c>
      <c r="Q98">
        <v>1E-3</v>
      </c>
      <c r="R98">
        <v>-8.9999999999999993E-3</v>
      </c>
      <c r="S98">
        <v>0.64300000000000002</v>
      </c>
      <c r="T98">
        <v>0.72399999999999998</v>
      </c>
    </row>
    <row r="99" spans="1:20" x14ac:dyDescent="0.2">
      <c r="A99" t="s">
        <v>2</v>
      </c>
      <c r="B99" t="s">
        <v>151</v>
      </c>
      <c r="C99">
        <v>335</v>
      </c>
      <c r="D99" t="s">
        <v>152</v>
      </c>
      <c r="E99" t="s">
        <v>153</v>
      </c>
      <c r="F99">
        <v>15.804</v>
      </c>
      <c r="G99">
        <v>-0.82199999999999995</v>
      </c>
      <c r="H99">
        <v>40.792000000000002</v>
      </c>
      <c r="I99">
        <v>4.2720000000000002</v>
      </c>
      <c r="J99">
        <v>0</v>
      </c>
      <c r="K99">
        <v>-0.84399999999999997</v>
      </c>
      <c r="L99" s="2">
        <f t="shared" si="0"/>
        <v>-0.82199999999999995</v>
      </c>
      <c r="M99">
        <v>1.9E-2</v>
      </c>
      <c r="P99">
        <v>0.432</v>
      </c>
      <c r="Q99">
        <v>1E-3</v>
      </c>
      <c r="R99">
        <v>-8.9999999999999993E-3</v>
      </c>
      <c r="S99">
        <v>4.7E-2</v>
      </c>
    </row>
    <row r="100" spans="1:20" x14ac:dyDescent="0.2">
      <c r="A100" t="s">
        <v>106</v>
      </c>
      <c r="B100" t="s">
        <v>151</v>
      </c>
      <c r="C100">
        <v>336</v>
      </c>
      <c r="D100" t="s">
        <v>154</v>
      </c>
      <c r="E100" t="s">
        <v>6</v>
      </c>
      <c r="F100">
        <v>3.0640000000000001</v>
      </c>
      <c r="G100">
        <v>-0.25600000000000001</v>
      </c>
      <c r="H100">
        <v>-1.458</v>
      </c>
      <c r="I100">
        <v>0.11799999999999999</v>
      </c>
      <c r="J100">
        <v>0</v>
      </c>
      <c r="K100">
        <v>-0.84399999999999997</v>
      </c>
      <c r="L100" s="2">
        <f t="shared" si="0"/>
        <v>-0.25600000000000001</v>
      </c>
      <c r="M100">
        <v>0.58799999999999997</v>
      </c>
      <c r="N100">
        <v>0.66900000000000004</v>
      </c>
      <c r="O100">
        <v>0.65</v>
      </c>
      <c r="P100">
        <v>-0.308</v>
      </c>
      <c r="Q100">
        <v>1E-3</v>
      </c>
      <c r="R100">
        <v>-8.9999999999999993E-3</v>
      </c>
      <c r="S100">
        <v>0.65100000000000002</v>
      </c>
      <c r="T100">
        <v>0.73199999999999998</v>
      </c>
    </row>
    <row r="101" spans="1:20" x14ac:dyDescent="0.2">
      <c r="A101" t="s">
        <v>118</v>
      </c>
      <c r="B101" t="s">
        <v>151</v>
      </c>
      <c r="C101">
        <v>338</v>
      </c>
      <c r="D101" t="s">
        <v>155</v>
      </c>
      <c r="E101" t="s">
        <v>87</v>
      </c>
      <c r="F101">
        <v>16.399999999999999</v>
      </c>
      <c r="G101">
        <v>1.2999999999999999E-2</v>
      </c>
      <c r="H101">
        <v>40.521999999999998</v>
      </c>
      <c r="I101">
        <v>3.6930000000000001</v>
      </c>
      <c r="J101">
        <v>0</v>
      </c>
      <c r="K101">
        <v>-0.84499999999999997</v>
      </c>
      <c r="L101" s="2">
        <f t="shared" si="0"/>
        <v>1.2999999999999999E-2</v>
      </c>
      <c r="M101">
        <v>0.85399999999999998</v>
      </c>
      <c r="P101">
        <v>-0.17399999999999999</v>
      </c>
      <c r="Q101">
        <v>1E-3</v>
      </c>
      <c r="R101">
        <v>-8.9999999999999993E-3</v>
      </c>
      <c r="S101">
        <v>0.93300000000000005</v>
      </c>
    </row>
    <row r="102" spans="1:20" x14ac:dyDescent="0.2">
      <c r="A102" t="s">
        <v>118</v>
      </c>
      <c r="B102" t="s">
        <v>156</v>
      </c>
      <c r="C102">
        <v>339</v>
      </c>
      <c r="D102" t="s">
        <v>157</v>
      </c>
      <c r="E102" t="s">
        <v>100</v>
      </c>
      <c r="F102">
        <v>-2.125</v>
      </c>
      <c r="G102">
        <v>-5.0000000000000001E-3</v>
      </c>
      <c r="H102">
        <v>-0.19800000000000001</v>
      </c>
      <c r="I102">
        <v>-7.6999999999999999E-2</v>
      </c>
      <c r="J102">
        <v>0</v>
      </c>
      <c r="K102">
        <v>-0.84499999999999997</v>
      </c>
      <c r="L102" s="2">
        <f t="shared" si="0"/>
        <v>-5.0000000000000001E-3</v>
      </c>
      <c r="M102">
        <v>0.84099999999999997</v>
      </c>
      <c r="P102">
        <v>-0.60499999999999998</v>
      </c>
      <c r="Q102">
        <v>1E-3</v>
      </c>
      <c r="R102">
        <v>-8.9999999999999993E-3</v>
      </c>
      <c r="S102">
        <v>0.92</v>
      </c>
    </row>
    <row r="103" spans="1:20" x14ac:dyDescent="0.2">
      <c r="A103" t="s">
        <v>2</v>
      </c>
      <c r="B103" t="s">
        <v>158</v>
      </c>
      <c r="C103">
        <v>346</v>
      </c>
      <c r="D103" t="s">
        <v>159</v>
      </c>
      <c r="E103" t="s">
        <v>66</v>
      </c>
      <c r="F103">
        <v>0.154</v>
      </c>
      <c r="G103">
        <v>-0.84199999999999997</v>
      </c>
      <c r="H103">
        <v>5.9960000000000004</v>
      </c>
      <c r="I103">
        <v>1.0289999999999999</v>
      </c>
      <c r="J103">
        <v>0</v>
      </c>
      <c r="K103">
        <v>-0.84499999999999997</v>
      </c>
      <c r="L103" s="2">
        <f t="shared" si="0"/>
        <v>-0.84199999999999997</v>
      </c>
      <c r="M103">
        <v>3.0000000000000001E-3</v>
      </c>
      <c r="P103">
        <v>-2.5999999999999999E-2</v>
      </c>
      <c r="Q103">
        <v>1E-3</v>
      </c>
      <c r="R103">
        <v>-0.01</v>
      </c>
      <c r="S103">
        <v>0.03</v>
      </c>
    </row>
    <row r="104" spans="1:20" x14ac:dyDescent="0.2">
      <c r="A104" t="s">
        <v>106</v>
      </c>
      <c r="B104" t="s">
        <v>160</v>
      </c>
      <c r="C104">
        <v>349</v>
      </c>
      <c r="D104" t="s">
        <v>161</v>
      </c>
      <c r="E104" t="s">
        <v>6</v>
      </c>
      <c r="F104">
        <v>2.976</v>
      </c>
      <c r="G104">
        <v>-0.28899999999999998</v>
      </c>
      <c r="H104">
        <v>-1.516</v>
      </c>
      <c r="I104">
        <v>0.11600000000000001</v>
      </c>
      <c r="J104">
        <v>0</v>
      </c>
      <c r="K104">
        <v>-0.84499999999999997</v>
      </c>
      <c r="L104" s="2">
        <f t="shared" si="0"/>
        <v>-0.28899999999999998</v>
      </c>
      <c r="M104">
        <v>0.55500000000000005</v>
      </c>
      <c r="N104">
        <v>0.63600000000000001</v>
      </c>
      <c r="O104">
        <v>0.65</v>
      </c>
      <c r="P104">
        <v>-0.29699999999999999</v>
      </c>
      <c r="Q104">
        <v>1E-3</v>
      </c>
      <c r="R104">
        <v>-0.01</v>
      </c>
      <c r="S104">
        <v>0.61699999999999999</v>
      </c>
      <c r="T104">
        <v>0.69799999999999995</v>
      </c>
    </row>
    <row r="105" spans="1:20" x14ac:dyDescent="0.2">
      <c r="A105" t="s">
        <v>2</v>
      </c>
      <c r="B105" t="s">
        <v>160</v>
      </c>
      <c r="C105">
        <v>352</v>
      </c>
      <c r="D105" t="s">
        <v>162</v>
      </c>
      <c r="E105" t="s">
        <v>163</v>
      </c>
      <c r="F105">
        <v>14.981999999999999</v>
      </c>
      <c r="G105">
        <v>-0.872</v>
      </c>
      <c r="H105">
        <v>39.130000000000003</v>
      </c>
      <c r="I105">
        <v>4.1139999999999999</v>
      </c>
      <c r="J105">
        <v>1E-3</v>
      </c>
      <c r="K105">
        <v>-0.84599999999999997</v>
      </c>
      <c r="L105" s="2">
        <f t="shared" si="0"/>
        <v>-0.88698200000000005</v>
      </c>
      <c r="M105">
        <v>-3.4000000000000002E-2</v>
      </c>
      <c r="P105">
        <v>0.13400000000000001</v>
      </c>
      <c r="Q105">
        <v>1E-3</v>
      </c>
      <c r="R105">
        <v>-0.01</v>
      </c>
      <c r="S105">
        <v>-8.9999999999999993E-3</v>
      </c>
    </row>
    <row r="106" spans="1:20" x14ac:dyDescent="0.2">
      <c r="A106" t="s">
        <v>106</v>
      </c>
      <c r="B106" t="s">
        <v>160</v>
      </c>
      <c r="C106">
        <v>354</v>
      </c>
      <c r="D106" t="s">
        <v>164</v>
      </c>
      <c r="E106" t="s">
        <v>12</v>
      </c>
      <c r="F106">
        <v>17.366</v>
      </c>
      <c r="G106">
        <v>-0.56299999999999994</v>
      </c>
      <c r="H106">
        <v>26.821999999999999</v>
      </c>
      <c r="I106">
        <v>3.0150000000000001</v>
      </c>
      <c r="J106">
        <v>1E-3</v>
      </c>
      <c r="K106">
        <v>-0.84599999999999997</v>
      </c>
      <c r="L106" s="2">
        <f t="shared" si="0"/>
        <v>-0.58036599999999994</v>
      </c>
      <c r="M106">
        <v>0.27300000000000002</v>
      </c>
      <c r="N106">
        <v>0.35399999999999998</v>
      </c>
      <c r="O106">
        <v>0.35199999999999998</v>
      </c>
      <c r="P106">
        <v>9.2999999999999999E-2</v>
      </c>
      <c r="Q106">
        <v>1E-3</v>
      </c>
      <c r="R106">
        <v>-0.01</v>
      </c>
      <c r="S106">
        <v>0.317</v>
      </c>
      <c r="T106">
        <v>0.39800000000000002</v>
      </c>
    </row>
    <row r="107" spans="1:20" x14ac:dyDescent="0.2">
      <c r="A107" t="s">
        <v>2</v>
      </c>
      <c r="B107" t="s">
        <v>165</v>
      </c>
      <c r="C107">
        <v>358</v>
      </c>
      <c r="D107" t="s">
        <v>166</v>
      </c>
      <c r="E107" t="s">
        <v>66</v>
      </c>
      <c r="F107">
        <v>5.0999999999999997E-2</v>
      </c>
      <c r="G107">
        <v>-0.84199999999999997</v>
      </c>
      <c r="H107">
        <v>5.7610000000000001</v>
      </c>
      <c r="I107">
        <v>1.105</v>
      </c>
      <c r="J107">
        <v>1E-3</v>
      </c>
      <c r="K107">
        <v>-0.84599999999999997</v>
      </c>
      <c r="L107" s="2">
        <f t="shared" si="0"/>
        <v>-0.84205099999999999</v>
      </c>
      <c r="M107">
        <v>4.0000000000000001E-3</v>
      </c>
      <c r="P107">
        <v>0.04</v>
      </c>
      <c r="Q107">
        <v>1E-3</v>
      </c>
      <c r="R107">
        <v>-1.0999999999999999E-2</v>
      </c>
      <c r="S107">
        <v>3.1E-2</v>
      </c>
    </row>
    <row r="108" spans="1:20" x14ac:dyDescent="0.2">
      <c r="A108" t="s">
        <v>106</v>
      </c>
      <c r="B108" t="s">
        <v>167</v>
      </c>
      <c r="C108">
        <v>361</v>
      </c>
      <c r="D108" t="s">
        <v>168</v>
      </c>
      <c r="E108" t="s">
        <v>169</v>
      </c>
      <c r="F108">
        <v>1.8580000000000001</v>
      </c>
      <c r="G108">
        <v>-0.30599999999999999</v>
      </c>
      <c r="H108">
        <v>16.794</v>
      </c>
      <c r="I108">
        <v>1.8120000000000001</v>
      </c>
      <c r="J108">
        <v>1E-3</v>
      </c>
      <c r="K108">
        <v>-0.84599999999999997</v>
      </c>
      <c r="L108" s="2">
        <f t="shared" si="0"/>
        <v>-0.30785800000000002</v>
      </c>
      <c r="M108">
        <v>0.53800000000000003</v>
      </c>
      <c r="N108">
        <v>0.61899999999999999</v>
      </c>
      <c r="O108">
        <v>0.64100000000000001</v>
      </c>
      <c r="P108">
        <v>-0.27200000000000002</v>
      </c>
      <c r="Q108">
        <v>1E-3</v>
      </c>
      <c r="R108">
        <v>-1.0999999999999999E-2</v>
      </c>
      <c r="S108">
        <v>0.6</v>
      </c>
      <c r="T108">
        <v>0.68100000000000005</v>
      </c>
    </row>
    <row r="109" spans="1:20" x14ac:dyDescent="0.2">
      <c r="A109" t="s">
        <v>118</v>
      </c>
      <c r="B109" t="s">
        <v>167</v>
      </c>
      <c r="C109">
        <v>365</v>
      </c>
      <c r="D109" t="s">
        <v>170</v>
      </c>
      <c r="E109" t="s">
        <v>87</v>
      </c>
      <c r="F109">
        <v>16.501000000000001</v>
      </c>
      <c r="G109">
        <v>8.9999999999999993E-3</v>
      </c>
      <c r="H109">
        <v>41.045000000000002</v>
      </c>
      <c r="I109">
        <v>3.9910000000000001</v>
      </c>
      <c r="J109">
        <v>1E-3</v>
      </c>
      <c r="K109">
        <v>-0.84699999999999998</v>
      </c>
      <c r="L109" s="2">
        <f t="shared" si="0"/>
        <v>-7.5010000000000025E-3</v>
      </c>
      <c r="M109">
        <v>0.84199999999999997</v>
      </c>
      <c r="P109">
        <v>-0.38700000000000001</v>
      </c>
      <c r="Q109">
        <v>1E-3</v>
      </c>
      <c r="R109">
        <v>-1.0999999999999999E-2</v>
      </c>
      <c r="S109">
        <v>0.92300000000000004</v>
      </c>
    </row>
    <row r="110" spans="1:20" x14ac:dyDescent="0.2">
      <c r="A110" t="s">
        <v>106</v>
      </c>
      <c r="B110" t="s">
        <v>171</v>
      </c>
      <c r="C110">
        <v>367</v>
      </c>
      <c r="D110" t="s">
        <v>172</v>
      </c>
      <c r="E110" t="s">
        <v>37</v>
      </c>
      <c r="F110">
        <v>16.878</v>
      </c>
      <c r="G110">
        <v>-0.56799999999999995</v>
      </c>
      <c r="H110">
        <v>25.863</v>
      </c>
      <c r="I110">
        <v>2.7730000000000001</v>
      </c>
      <c r="J110">
        <v>1E-3</v>
      </c>
      <c r="K110">
        <v>-0.84699999999999998</v>
      </c>
      <c r="L110" s="2">
        <f t="shared" si="0"/>
        <v>-0.5848779999999999</v>
      </c>
      <c r="M110">
        <v>0.26500000000000001</v>
      </c>
      <c r="N110">
        <v>0.34599999999999997</v>
      </c>
      <c r="O110">
        <v>0.35199999999999998</v>
      </c>
      <c r="P110">
        <v>-0.21</v>
      </c>
      <c r="Q110">
        <v>1E-3</v>
      </c>
      <c r="R110">
        <v>-1.0999999999999999E-2</v>
      </c>
      <c r="S110">
        <v>0.309</v>
      </c>
      <c r="T110">
        <v>0.39</v>
      </c>
    </row>
    <row r="111" spans="1:20" x14ac:dyDescent="0.2">
      <c r="A111" t="s">
        <v>2</v>
      </c>
      <c r="B111" t="s">
        <v>171</v>
      </c>
      <c r="C111">
        <v>369</v>
      </c>
      <c r="D111" t="s">
        <v>173</v>
      </c>
      <c r="E111" t="s">
        <v>163</v>
      </c>
      <c r="F111">
        <v>15.058999999999999</v>
      </c>
      <c r="G111">
        <v>-0.82699999999999996</v>
      </c>
      <c r="H111">
        <v>39.085999999999999</v>
      </c>
      <c r="I111">
        <v>4.2720000000000002</v>
      </c>
      <c r="J111">
        <v>1E-3</v>
      </c>
      <c r="K111">
        <v>-0.84699999999999998</v>
      </c>
      <c r="L111" s="2">
        <f t="shared" si="0"/>
        <v>-0.842059</v>
      </c>
      <c r="M111">
        <v>8.0000000000000002E-3</v>
      </c>
      <c r="P111">
        <v>8.0000000000000002E-3</v>
      </c>
      <c r="Q111">
        <v>1E-3</v>
      </c>
      <c r="R111">
        <v>-1.0999999999999999E-2</v>
      </c>
      <c r="S111">
        <v>3.5000000000000003E-2</v>
      </c>
    </row>
    <row r="112" spans="1:20" x14ac:dyDescent="0.2">
      <c r="A112" t="s">
        <v>106</v>
      </c>
      <c r="B112" t="s">
        <v>174</v>
      </c>
      <c r="C112">
        <v>373</v>
      </c>
      <c r="D112" t="s">
        <v>175</v>
      </c>
      <c r="E112" t="s">
        <v>6</v>
      </c>
      <c r="F112">
        <v>2.78</v>
      </c>
      <c r="G112">
        <v>-0.28100000000000003</v>
      </c>
      <c r="H112">
        <v>-1.581</v>
      </c>
      <c r="I112">
        <v>0.22</v>
      </c>
      <c r="J112">
        <v>1E-3</v>
      </c>
      <c r="K112">
        <v>-0.84699999999999998</v>
      </c>
      <c r="L112" s="2">
        <f t="shared" si="0"/>
        <v>-0.28378000000000003</v>
      </c>
      <c r="M112">
        <v>0.56200000000000006</v>
      </c>
      <c r="N112">
        <v>0.64300000000000002</v>
      </c>
      <c r="O112">
        <v>0.65</v>
      </c>
      <c r="P112">
        <v>-0.17199999999999999</v>
      </c>
      <c r="Q112">
        <v>1E-3</v>
      </c>
      <c r="R112">
        <v>-1.0999999999999999E-2</v>
      </c>
      <c r="S112">
        <v>0.626</v>
      </c>
      <c r="T112">
        <v>0.70699999999999996</v>
      </c>
    </row>
    <row r="113" spans="1:20" x14ac:dyDescent="0.2">
      <c r="A113" t="s">
        <v>106</v>
      </c>
      <c r="B113" t="s">
        <v>176</v>
      </c>
      <c r="C113">
        <v>377</v>
      </c>
      <c r="D113" t="s">
        <v>177</v>
      </c>
      <c r="E113" t="s">
        <v>169</v>
      </c>
      <c r="F113">
        <v>1.8919999999999999</v>
      </c>
      <c r="G113">
        <v>-0.29599999999999999</v>
      </c>
      <c r="H113">
        <v>16.998999999999999</v>
      </c>
      <c r="I113">
        <v>1.9630000000000001</v>
      </c>
      <c r="J113">
        <v>1E-3</v>
      </c>
      <c r="K113">
        <v>-0.84799999999999998</v>
      </c>
      <c r="L113" s="2">
        <f t="shared" si="0"/>
        <v>-0.29789199999999999</v>
      </c>
      <c r="M113">
        <v>0.54800000000000004</v>
      </c>
      <c r="N113">
        <v>0.629</v>
      </c>
      <c r="O113">
        <v>0.64100000000000001</v>
      </c>
      <c r="P113">
        <v>-0.26</v>
      </c>
      <c r="Q113">
        <v>1E-3</v>
      </c>
      <c r="R113">
        <v>-1.0999999999999999E-2</v>
      </c>
      <c r="S113">
        <v>0.61099999999999999</v>
      </c>
      <c r="T113">
        <v>0.69199999999999995</v>
      </c>
    </row>
    <row r="114" spans="1:20" x14ac:dyDescent="0.2">
      <c r="A114" t="s">
        <v>2</v>
      </c>
      <c r="B114" t="s">
        <v>176</v>
      </c>
      <c r="C114">
        <v>380</v>
      </c>
      <c r="D114" t="s">
        <v>178</v>
      </c>
      <c r="E114" t="s">
        <v>179</v>
      </c>
      <c r="F114">
        <v>14.586</v>
      </c>
      <c r="G114">
        <v>-0.83599999999999997</v>
      </c>
      <c r="H114">
        <v>38.567</v>
      </c>
      <c r="I114">
        <v>4.5199999999999996</v>
      </c>
      <c r="J114">
        <v>1E-3</v>
      </c>
      <c r="K114">
        <v>-0.84799999999999998</v>
      </c>
      <c r="L114" s="2">
        <f t="shared" si="0"/>
        <v>-0.85058599999999995</v>
      </c>
      <c r="M114">
        <v>-3.0000000000000001E-3</v>
      </c>
      <c r="P114">
        <v>0.115</v>
      </c>
      <c r="Q114">
        <v>1E-3</v>
      </c>
      <c r="R114">
        <v>-1.2E-2</v>
      </c>
      <c r="S114">
        <v>2.4E-2</v>
      </c>
    </row>
    <row r="115" spans="1:20" x14ac:dyDescent="0.2">
      <c r="A115" t="s">
        <v>106</v>
      </c>
      <c r="B115" t="s">
        <v>180</v>
      </c>
      <c r="C115">
        <v>382</v>
      </c>
      <c r="D115" t="s">
        <v>181</v>
      </c>
      <c r="E115" t="s">
        <v>37</v>
      </c>
      <c r="F115">
        <v>16.852</v>
      </c>
      <c r="G115">
        <v>-0.53400000000000003</v>
      </c>
      <c r="H115">
        <v>26.443000000000001</v>
      </c>
      <c r="I115">
        <v>3.2109999999999999</v>
      </c>
      <c r="J115">
        <v>1E-3</v>
      </c>
      <c r="K115">
        <v>-0.84799999999999998</v>
      </c>
      <c r="L115" s="2">
        <f t="shared" si="0"/>
        <v>-0.55085200000000001</v>
      </c>
      <c r="M115">
        <v>0.29499999999999998</v>
      </c>
      <c r="N115">
        <v>0.376</v>
      </c>
      <c r="O115">
        <v>0.35199999999999998</v>
      </c>
      <c r="P115">
        <v>-5.0000000000000001E-3</v>
      </c>
      <c r="Q115">
        <v>1E-3</v>
      </c>
      <c r="R115">
        <v>-1.2E-2</v>
      </c>
      <c r="S115">
        <v>0.34100000000000003</v>
      </c>
      <c r="T115">
        <v>0.42199999999999999</v>
      </c>
    </row>
    <row r="116" spans="1:20" x14ac:dyDescent="0.2">
      <c r="A116" t="s">
        <v>118</v>
      </c>
      <c r="B116" t="s">
        <v>180</v>
      </c>
      <c r="C116">
        <v>384</v>
      </c>
      <c r="D116" t="s">
        <v>182</v>
      </c>
      <c r="E116" t="s">
        <v>100</v>
      </c>
      <c r="F116">
        <v>-3.4009999999999998</v>
      </c>
      <c r="G116">
        <v>-4.3999999999999997E-2</v>
      </c>
      <c r="H116">
        <v>-2.8540000000000001</v>
      </c>
      <c r="I116">
        <v>-0.25800000000000001</v>
      </c>
      <c r="J116">
        <v>1E-3</v>
      </c>
      <c r="K116">
        <v>-0.84799999999999998</v>
      </c>
      <c r="L116" s="2">
        <f t="shared" si="0"/>
        <v>-4.0598999999999996E-2</v>
      </c>
      <c r="M116">
        <v>0.80500000000000005</v>
      </c>
      <c r="P116">
        <v>-0.51300000000000001</v>
      </c>
      <c r="Q116">
        <v>1E-3</v>
      </c>
      <c r="R116">
        <v>-1.2E-2</v>
      </c>
      <c r="S116">
        <v>0.88400000000000001</v>
      </c>
    </row>
    <row r="117" spans="1:20" x14ac:dyDescent="0.2">
      <c r="A117" t="s">
        <v>106</v>
      </c>
      <c r="B117" t="s">
        <v>183</v>
      </c>
      <c r="C117">
        <v>387</v>
      </c>
      <c r="D117" t="s">
        <v>184</v>
      </c>
      <c r="E117" t="s">
        <v>169</v>
      </c>
      <c r="F117">
        <v>2.0289999999999999</v>
      </c>
      <c r="G117">
        <v>-0.28499999999999998</v>
      </c>
      <c r="H117">
        <v>16.823</v>
      </c>
      <c r="I117">
        <v>1.93</v>
      </c>
      <c r="J117">
        <v>1E-3</v>
      </c>
      <c r="K117">
        <v>-0.84799999999999998</v>
      </c>
      <c r="L117" s="2">
        <f t="shared" si="0"/>
        <v>-0.28702899999999998</v>
      </c>
      <c r="M117">
        <v>0.55900000000000005</v>
      </c>
      <c r="N117">
        <v>0.64</v>
      </c>
      <c r="O117">
        <v>0.64100000000000001</v>
      </c>
      <c r="P117">
        <v>-0.35299999999999998</v>
      </c>
      <c r="Q117">
        <v>2E-3</v>
      </c>
      <c r="R117">
        <v>-1.2E-2</v>
      </c>
      <c r="S117">
        <v>0.622</v>
      </c>
      <c r="T117">
        <v>0.70299999999999996</v>
      </c>
    </row>
    <row r="118" spans="1:20" x14ac:dyDescent="0.2">
      <c r="A118" t="s">
        <v>118</v>
      </c>
      <c r="B118" t="s">
        <v>183</v>
      </c>
      <c r="C118">
        <v>388</v>
      </c>
      <c r="D118" t="s">
        <v>185</v>
      </c>
      <c r="E118" t="s">
        <v>100</v>
      </c>
      <c r="F118">
        <v>-3.335</v>
      </c>
      <c r="G118">
        <v>-7.0000000000000001E-3</v>
      </c>
      <c r="H118">
        <v>-2.8159999999999998</v>
      </c>
      <c r="I118">
        <v>-0.315</v>
      </c>
      <c r="J118">
        <v>1E-3</v>
      </c>
      <c r="K118">
        <v>-0.84899999999999998</v>
      </c>
      <c r="L118" s="2">
        <f t="shared" si="0"/>
        <v>-3.6650000000000003E-3</v>
      </c>
      <c r="M118">
        <v>0.84199999999999997</v>
      </c>
      <c r="P118">
        <v>-0.56899999999999995</v>
      </c>
      <c r="Q118">
        <v>2E-3</v>
      </c>
      <c r="R118">
        <v>-1.2E-2</v>
      </c>
      <c r="S118">
        <v>0.92400000000000004</v>
      </c>
    </row>
    <row r="119" spans="1:20" x14ac:dyDescent="0.2">
      <c r="A119" t="s">
        <v>118</v>
      </c>
      <c r="B119" t="s">
        <v>183</v>
      </c>
      <c r="C119">
        <v>389</v>
      </c>
      <c r="D119" t="s">
        <v>186</v>
      </c>
      <c r="E119" t="s">
        <v>100</v>
      </c>
      <c r="F119">
        <v>-3.3620000000000001</v>
      </c>
      <c r="G119">
        <v>-0.03</v>
      </c>
      <c r="H119">
        <v>-2.7690000000000001</v>
      </c>
      <c r="I119">
        <v>-0.23100000000000001</v>
      </c>
      <c r="J119">
        <v>1E-3</v>
      </c>
      <c r="K119">
        <v>-0.84899999999999998</v>
      </c>
      <c r="L119" s="2">
        <f t="shared" si="0"/>
        <v>-2.6637999999999998E-2</v>
      </c>
      <c r="M119">
        <v>0.81899999999999995</v>
      </c>
      <c r="P119">
        <v>-0.48799999999999999</v>
      </c>
      <c r="Q119">
        <v>2E-3</v>
      </c>
      <c r="R119">
        <v>-1.2E-2</v>
      </c>
      <c r="S119">
        <v>0.9</v>
      </c>
    </row>
    <row r="120" spans="1:20" x14ac:dyDescent="0.2">
      <c r="A120" t="s">
        <v>2</v>
      </c>
      <c r="B120" t="s">
        <v>187</v>
      </c>
      <c r="C120">
        <v>390</v>
      </c>
      <c r="D120" t="s">
        <v>188</v>
      </c>
      <c r="E120" t="s">
        <v>189</v>
      </c>
      <c r="F120">
        <v>-0.86199999999999999</v>
      </c>
      <c r="G120">
        <v>-0.85699999999999998</v>
      </c>
      <c r="H120">
        <v>4.0940000000000003</v>
      </c>
      <c r="I120">
        <v>0.95099999999999996</v>
      </c>
      <c r="J120">
        <v>1E-3</v>
      </c>
      <c r="K120">
        <v>-0.84899999999999998</v>
      </c>
      <c r="L120" s="2">
        <f t="shared" si="0"/>
        <v>-0.85613799999999995</v>
      </c>
      <c r="M120">
        <v>-7.0000000000000001E-3</v>
      </c>
      <c r="P120">
        <v>-2.4E-2</v>
      </c>
      <c r="Q120">
        <v>2E-3</v>
      </c>
      <c r="R120">
        <v>-1.2E-2</v>
      </c>
      <c r="S120">
        <v>1.9E-2</v>
      </c>
    </row>
    <row r="121" spans="1:20" x14ac:dyDescent="0.2">
      <c r="A121" t="s">
        <v>106</v>
      </c>
      <c r="B121" t="s">
        <v>187</v>
      </c>
      <c r="C121">
        <v>394</v>
      </c>
      <c r="D121" t="s">
        <v>190</v>
      </c>
      <c r="E121" t="s">
        <v>37</v>
      </c>
      <c r="F121">
        <v>16.821999999999999</v>
      </c>
      <c r="G121">
        <v>-0.53500000000000003</v>
      </c>
      <c r="H121">
        <v>26.779</v>
      </c>
      <c r="I121">
        <v>3.3719999999999999</v>
      </c>
      <c r="J121">
        <v>1E-3</v>
      </c>
      <c r="K121">
        <v>-0.84899999999999998</v>
      </c>
      <c r="L121" s="2">
        <f t="shared" si="0"/>
        <v>-0.55182200000000003</v>
      </c>
      <c r="M121">
        <v>0.29099999999999998</v>
      </c>
      <c r="N121">
        <v>0.372</v>
      </c>
      <c r="O121">
        <v>0.35199999999999998</v>
      </c>
      <c r="P121">
        <v>-2.8000000000000001E-2</v>
      </c>
      <c r="Q121">
        <v>2E-3</v>
      </c>
      <c r="R121">
        <v>-1.2E-2</v>
      </c>
      <c r="S121">
        <v>0.33700000000000002</v>
      </c>
      <c r="T121">
        <v>0.41799999999999998</v>
      </c>
    </row>
    <row r="122" spans="1:20" x14ac:dyDescent="0.2">
      <c r="A122" t="s">
        <v>2</v>
      </c>
      <c r="B122" t="s">
        <v>191</v>
      </c>
      <c r="C122">
        <v>396</v>
      </c>
      <c r="D122" t="s">
        <v>192</v>
      </c>
      <c r="E122" t="s">
        <v>193</v>
      </c>
      <c r="F122">
        <v>15.180999999999999</v>
      </c>
      <c r="G122">
        <v>-0.82299999999999995</v>
      </c>
      <c r="H122">
        <v>39.942999999999998</v>
      </c>
      <c r="I122">
        <v>4.8609999999999998</v>
      </c>
      <c r="J122">
        <v>1E-3</v>
      </c>
      <c r="K122">
        <v>-0.84899999999999998</v>
      </c>
      <c r="L122" s="2">
        <f t="shared" si="0"/>
        <v>-0.83818099999999995</v>
      </c>
      <c r="M122">
        <v>6.0000000000000001E-3</v>
      </c>
      <c r="P122">
        <v>2.1000000000000001E-2</v>
      </c>
      <c r="Q122">
        <v>2E-3</v>
      </c>
      <c r="R122">
        <v>-1.2E-2</v>
      </c>
      <c r="S122">
        <v>3.3000000000000002E-2</v>
      </c>
    </row>
    <row r="123" spans="1:20" x14ac:dyDescent="0.2">
      <c r="A123" t="s">
        <v>106</v>
      </c>
      <c r="B123" t="s">
        <v>191</v>
      </c>
      <c r="C123">
        <v>398</v>
      </c>
      <c r="D123" t="s">
        <v>194</v>
      </c>
      <c r="E123" t="s">
        <v>169</v>
      </c>
      <c r="F123">
        <v>2.3540000000000001</v>
      </c>
      <c r="G123">
        <v>-0.29799999999999999</v>
      </c>
      <c r="H123">
        <v>17.856999999999999</v>
      </c>
      <c r="I123">
        <v>2.246</v>
      </c>
      <c r="J123">
        <v>1E-3</v>
      </c>
      <c r="K123">
        <v>-0.84899999999999998</v>
      </c>
      <c r="L123" s="2">
        <f t="shared" si="0"/>
        <v>-0.30035400000000001</v>
      </c>
      <c r="M123">
        <v>0.54600000000000004</v>
      </c>
      <c r="N123">
        <v>0.627</v>
      </c>
      <c r="O123">
        <v>0.64100000000000001</v>
      </c>
      <c r="P123">
        <v>-0.23699999999999999</v>
      </c>
      <c r="Q123">
        <v>2E-3</v>
      </c>
      <c r="R123">
        <v>-1.2E-2</v>
      </c>
      <c r="S123">
        <v>0.60799999999999998</v>
      </c>
      <c r="T123">
        <v>0.68899999999999995</v>
      </c>
    </row>
    <row r="124" spans="1:20" x14ac:dyDescent="0.2">
      <c r="A124" t="s">
        <v>106</v>
      </c>
      <c r="B124" t="s">
        <v>195</v>
      </c>
      <c r="C124">
        <v>399</v>
      </c>
      <c r="D124" t="s">
        <v>196</v>
      </c>
      <c r="E124" t="s">
        <v>37</v>
      </c>
      <c r="F124">
        <v>16.907</v>
      </c>
      <c r="G124">
        <v>-0.51300000000000001</v>
      </c>
      <c r="H124">
        <v>26.405000000000001</v>
      </c>
      <c r="I124">
        <v>3.1070000000000002</v>
      </c>
      <c r="J124">
        <v>1E-3</v>
      </c>
      <c r="K124">
        <v>-0.84899999999999998</v>
      </c>
      <c r="L124" s="2">
        <f t="shared" si="0"/>
        <v>-0.52990700000000002</v>
      </c>
      <c r="M124">
        <v>0.312</v>
      </c>
      <c r="N124">
        <v>0.39300000000000002</v>
      </c>
      <c r="O124">
        <v>0.35199999999999998</v>
      </c>
      <c r="P124">
        <v>-0.316</v>
      </c>
      <c r="Q124">
        <v>2E-3</v>
      </c>
      <c r="R124">
        <v>-1.2E-2</v>
      </c>
      <c r="S124">
        <v>0.35899999999999999</v>
      </c>
      <c r="T124">
        <v>0.44</v>
      </c>
    </row>
    <row r="125" spans="1:20" x14ac:dyDescent="0.2">
      <c r="A125" t="s">
        <v>2</v>
      </c>
      <c r="B125" t="s">
        <v>195</v>
      </c>
      <c r="C125">
        <v>400</v>
      </c>
      <c r="D125" t="s">
        <v>197</v>
      </c>
      <c r="E125" t="s">
        <v>198</v>
      </c>
      <c r="F125">
        <v>-0.49099999999999999</v>
      </c>
      <c r="G125">
        <v>-0.84299999999999997</v>
      </c>
      <c r="H125">
        <v>5.1760000000000002</v>
      </c>
      <c r="I125">
        <v>1.125</v>
      </c>
      <c r="J125">
        <v>1E-3</v>
      </c>
      <c r="K125">
        <v>-0.85</v>
      </c>
      <c r="L125" s="2">
        <f t="shared" si="0"/>
        <v>-0.84250899999999995</v>
      </c>
      <c r="M125">
        <v>7.0000000000000001E-3</v>
      </c>
      <c r="P125">
        <v>1.2E-2</v>
      </c>
      <c r="Q125">
        <v>2E-3</v>
      </c>
      <c r="R125">
        <v>-1.2E-2</v>
      </c>
      <c r="S125">
        <v>3.5000000000000003E-2</v>
      </c>
    </row>
    <row r="126" spans="1:20" x14ac:dyDescent="0.2">
      <c r="A126" t="s">
        <v>106</v>
      </c>
      <c r="B126" t="s">
        <v>199</v>
      </c>
      <c r="C126">
        <v>404</v>
      </c>
      <c r="D126" t="s">
        <v>200</v>
      </c>
      <c r="E126" t="s">
        <v>37</v>
      </c>
      <c r="F126">
        <v>16.911000000000001</v>
      </c>
      <c r="G126">
        <v>-0.51500000000000001</v>
      </c>
      <c r="H126">
        <v>27.077999999999999</v>
      </c>
      <c r="I126">
        <v>3.4209999999999998</v>
      </c>
      <c r="J126">
        <v>1E-3</v>
      </c>
      <c r="K126">
        <v>-0.85</v>
      </c>
      <c r="L126" s="2">
        <f t="shared" si="0"/>
        <v>-0.53191100000000002</v>
      </c>
      <c r="M126">
        <v>0.308</v>
      </c>
      <c r="N126">
        <v>0.38900000000000001</v>
      </c>
      <c r="O126">
        <v>0.35199999999999998</v>
      </c>
      <c r="P126">
        <v>-0.14099999999999999</v>
      </c>
      <c r="Q126">
        <v>2E-3</v>
      </c>
      <c r="R126">
        <v>-1.2E-2</v>
      </c>
      <c r="S126">
        <v>0.35499999999999998</v>
      </c>
      <c r="T126">
        <v>0.436</v>
      </c>
    </row>
    <row r="127" spans="1:20" x14ac:dyDescent="0.2">
      <c r="A127" t="s">
        <v>106</v>
      </c>
      <c r="B127" t="s">
        <v>199</v>
      </c>
      <c r="C127">
        <v>405</v>
      </c>
      <c r="D127" t="s">
        <v>201</v>
      </c>
      <c r="E127" t="s">
        <v>169</v>
      </c>
      <c r="F127">
        <v>2.14</v>
      </c>
      <c r="G127">
        <v>-0.29299999999999998</v>
      </c>
      <c r="H127">
        <v>17.334</v>
      </c>
      <c r="I127">
        <v>2.2639999999999998</v>
      </c>
      <c r="J127">
        <v>1E-3</v>
      </c>
      <c r="K127">
        <v>-0.85</v>
      </c>
      <c r="L127" s="2">
        <f t="shared" si="0"/>
        <v>-0.29513999999999996</v>
      </c>
      <c r="M127">
        <v>0.55100000000000005</v>
      </c>
      <c r="N127">
        <v>0.63200000000000001</v>
      </c>
      <c r="O127">
        <v>0.64100000000000001</v>
      </c>
      <c r="P127">
        <v>-0.221</v>
      </c>
      <c r="Q127">
        <v>2E-3</v>
      </c>
      <c r="R127">
        <v>-1.2E-2</v>
      </c>
      <c r="S127">
        <v>0.61399999999999999</v>
      </c>
      <c r="T127">
        <v>0.69499999999999995</v>
      </c>
    </row>
    <row r="128" spans="1:20" x14ac:dyDescent="0.2">
      <c r="A128" t="s">
        <v>2</v>
      </c>
      <c r="B128" t="s">
        <v>199</v>
      </c>
      <c r="C128">
        <v>406</v>
      </c>
      <c r="D128" t="s">
        <v>202</v>
      </c>
      <c r="E128" t="s">
        <v>203</v>
      </c>
      <c r="F128">
        <v>15.461</v>
      </c>
      <c r="G128">
        <v>-0.82399999999999995</v>
      </c>
      <c r="H128">
        <v>41.421999999999997</v>
      </c>
      <c r="I128">
        <v>5.3109999999999999</v>
      </c>
      <c r="J128">
        <v>2E-3</v>
      </c>
      <c r="K128">
        <v>-0.85</v>
      </c>
      <c r="L128" s="2">
        <f t="shared" si="0"/>
        <v>-0.85492199999999996</v>
      </c>
      <c r="M128">
        <v>3.0000000000000001E-3</v>
      </c>
      <c r="P128">
        <v>0.113</v>
      </c>
      <c r="Q128">
        <v>2E-3</v>
      </c>
      <c r="R128">
        <v>-1.2E-2</v>
      </c>
      <c r="S128">
        <v>0.03</v>
      </c>
    </row>
    <row r="129" spans="1:20" x14ac:dyDescent="0.2">
      <c r="A129" t="s">
        <v>2</v>
      </c>
      <c r="B129" t="s">
        <v>199</v>
      </c>
      <c r="C129">
        <v>407</v>
      </c>
      <c r="D129" t="s">
        <v>204</v>
      </c>
      <c r="E129" t="s">
        <v>205</v>
      </c>
      <c r="F129">
        <v>-0.93600000000000005</v>
      </c>
      <c r="G129">
        <v>-0.85699999999999998</v>
      </c>
      <c r="H129">
        <v>3.9449999999999998</v>
      </c>
      <c r="I129">
        <v>0.96499999999999997</v>
      </c>
      <c r="J129">
        <v>2E-3</v>
      </c>
      <c r="K129">
        <v>-0.85</v>
      </c>
      <c r="L129" s="2">
        <f t="shared" si="0"/>
        <v>-0.855128</v>
      </c>
      <c r="M129">
        <v>-5.0000000000000001E-3</v>
      </c>
      <c r="P129">
        <v>-2.8000000000000001E-2</v>
      </c>
      <c r="Q129">
        <v>2E-3</v>
      </c>
      <c r="R129">
        <v>-1.2E-2</v>
      </c>
      <c r="S129">
        <v>2.1000000000000001E-2</v>
      </c>
    </row>
    <row r="130" spans="1:20" x14ac:dyDescent="0.2">
      <c r="A130" t="s">
        <v>2</v>
      </c>
      <c r="B130" t="s">
        <v>206</v>
      </c>
      <c r="C130">
        <v>408</v>
      </c>
      <c r="D130" t="s">
        <v>207</v>
      </c>
      <c r="E130" t="s">
        <v>208</v>
      </c>
      <c r="F130">
        <v>-59.618000000000002</v>
      </c>
      <c r="G130">
        <v>-0.99</v>
      </c>
      <c r="H130">
        <v>-55.4</v>
      </c>
      <c r="I130">
        <v>-6.5309999999999997</v>
      </c>
      <c r="J130">
        <v>2E-3</v>
      </c>
      <c r="K130">
        <v>-0.85</v>
      </c>
      <c r="L130" s="2">
        <f t="shared" si="0"/>
        <v>-0.87076399999999998</v>
      </c>
      <c r="M130">
        <v>-4.7E-2</v>
      </c>
      <c r="P130">
        <v>-0.80500000000000005</v>
      </c>
      <c r="Q130">
        <v>2E-3</v>
      </c>
      <c r="R130">
        <v>-1.2E-2</v>
      </c>
      <c r="S130">
        <v>-2.3E-2</v>
      </c>
    </row>
    <row r="131" spans="1:20" x14ac:dyDescent="0.2">
      <c r="A131" t="s">
        <v>106</v>
      </c>
      <c r="B131" t="s">
        <v>206</v>
      </c>
      <c r="C131">
        <v>409</v>
      </c>
      <c r="D131" t="s">
        <v>209</v>
      </c>
      <c r="E131" t="s">
        <v>12</v>
      </c>
      <c r="F131">
        <v>17.548999999999999</v>
      </c>
      <c r="G131">
        <v>-0.53900000000000003</v>
      </c>
      <c r="H131">
        <v>27.818000000000001</v>
      </c>
      <c r="I131">
        <v>3.6469999999999998</v>
      </c>
      <c r="J131">
        <v>2E-3</v>
      </c>
      <c r="K131">
        <v>-0.85</v>
      </c>
      <c r="L131" s="2">
        <f t="shared" si="0"/>
        <v>-0.574098</v>
      </c>
      <c r="M131">
        <v>0.28199999999999997</v>
      </c>
      <c r="N131">
        <v>0.36299999999999999</v>
      </c>
      <c r="O131">
        <v>0.35199999999999998</v>
      </c>
      <c r="P131">
        <v>-6.5000000000000002E-2</v>
      </c>
      <c r="Q131">
        <v>2E-3</v>
      </c>
      <c r="R131">
        <v>-1.2E-2</v>
      </c>
      <c r="S131">
        <v>0.32700000000000001</v>
      </c>
      <c r="T131">
        <v>0.40799999999999997</v>
      </c>
    </row>
    <row r="132" spans="1:20" x14ac:dyDescent="0.2">
      <c r="A132" t="s">
        <v>2</v>
      </c>
      <c r="B132" t="s">
        <v>210</v>
      </c>
      <c r="C132">
        <v>414</v>
      </c>
      <c r="D132" t="s">
        <v>211</v>
      </c>
      <c r="E132" t="s">
        <v>212</v>
      </c>
      <c r="F132">
        <v>14.513999999999999</v>
      </c>
      <c r="G132">
        <v>-0.82499999999999996</v>
      </c>
      <c r="H132">
        <v>38.881</v>
      </c>
      <c r="I132">
        <v>5.0670000000000002</v>
      </c>
      <c r="J132">
        <v>2E-3</v>
      </c>
      <c r="K132">
        <v>-0.85099999999999998</v>
      </c>
      <c r="L132" s="2">
        <f t="shared" si="0"/>
        <v>-0.85402800000000001</v>
      </c>
      <c r="M132">
        <v>1E-3</v>
      </c>
      <c r="P132">
        <v>1E-3</v>
      </c>
      <c r="Q132">
        <v>2E-3</v>
      </c>
      <c r="R132">
        <v>-1.2E-2</v>
      </c>
      <c r="S132">
        <v>2.9000000000000001E-2</v>
      </c>
    </row>
    <row r="133" spans="1:20" x14ac:dyDescent="0.2">
      <c r="A133" t="s">
        <v>106</v>
      </c>
      <c r="B133" t="s">
        <v>210</v>
      </c>
      <c r="C133">
        <v>416</v>
      </c>
      <c r="D133" t="s">
        <v>213</v>
      </c>
      <c r="E133" t="s">
        <v>6</v>
      </c>
      <c r="F133">
        <v>2.8809999999999998</v>
      </c>
      <c r="G133">
        <v>-0.27200000000000002</v>
      </c>
      <c r="H133">
        <v>-1.766</v>
      </c>
      <c r="I133">
        <v>-1.4999999999999999E-2</v>
      </c>
      <c r="J133">
        <v>2E-3</v>
      </c>
      <c r="K133">
        <v>-0.85099999999999998</v>
      </c>
      <c r="L133" s="2">
        <f t="shared" si="0"/>
        <v>-0.27776200000000001</v>
      </c>
      <c r="M133">
        <v>0.56999999999999995</v>
      </c>
      <c r="N133">
        <v>0.65100000000000002</v>
      </c>
      <c r="O133">
        <v>0.65</v>
      </c>
      <c r="P133">
        <v>-0.35699999999999998</v>
      </c>
      <c r="Q133">
        <v>2E-3</v>
      </c>
      <c r="R133">
        <v>-1.2E-2</v>
      </c>
      <c r="S133">
        <v>0.63500000000000001</v>
      </c>
      <c r="T133">
        <v>0.71599999999999997</v>
      </c>
    </row>
    <row r="134" spans="1:20" x14ac:dyDescent="0.2">
      <c r="A134" t="s">
        <v>106</v>
      </c>
      <c r="B134" t="s">
        <v>214</v>
      </c>
      <c r="C134">
        <v>420</v>
      </c>
      <c r="D134" t="s">
        <v>215</v>
      </c>
      <c r="E134" t="s">
        <v>12</v>
      </c>
      <c r="F134">
        <v>17.353000000000002</v>
      </c>
      <c r="G134">
        <v>-0.53900000000000003</v>
      </c>
      <c r="H134">
        <v>27.61</v>
      </c>
      <c r="I134">
        <v>3.8140000000000001</v>
      </c>
      <c r="J134">
        <v>2E-3</v>
      </c>
      <c r="K134">
        <v>-0.85099999999999998</v>
      </c>
      <c r="L134" s="2">
        <f t="shared" si="0"/>
        <v>-0.57370600000000005</v>
      </c>
      <c r="M134">
        <v>0.27900000000000003</v>
      </c>
      <c r="N134">
        <v>0.36</v>
      </c>
      <c r="O134">
        <v>0.35199999999999998</v>
      </c>
      <c r="P134">
        <v>-2.5999999999999999E-2</v>
      </c>
      <c r="Q134">
        <v>2E-3</v>
      </c>
      <c r="R134">
        <v>-1.2E-2</v>
      </c>
      <c r="S134">
        <v>0.32500000000000001</v>
      </c>
      <c r="T134">
        <v>0.40600000000000003</v>
      </c>
    </row>
    <row r="135" spans="1:20" x14ac:dyDescent="0.2">
      <c r="A135" t="s">
        <v>2</v>
      </c>
      <c r="B135" t="s">
        <v>214</v>
      </c>
      <c r="C135">
        <v>421</v>
      </c>
      <c r="D135" t="s">
        <v>216</v>
      </c>
      <c r="E135" t="s">
        <v>217</v>
      </c>
      <c r="F135">
        <v>1.2709999999999999</v>
      </c>
      <c r="G135">
        <v>-0.84199999999999997</v>
      </c>
      <c r="H135">
        <v>7.5919999999999996</v>
      </c>
      <c r="I135">
        <v>1.387</v>
      </c>
      <c r="J135">
        <v>2E-3</v>
      </c>
      <c r="K135">
        <v>-0.85099999999999998</v>
      </c>
      <c r="L135" s="2">
        <f t="shared" ref="L135:L198" si="1">G135-F135*J135</f>
        <v>-0.84454200000000001</v>
      </c>
      <c r="M135">
        <v>7.0000000000000001E-3</v>
      </c>
      <c r="P135">
        <v>-7.0999999999999994E-2</v>
      </c>
      <c r="Q135">
        <v>2E-3</v>
      </c>
      <c r="R135">
        <v>-1.2E-2</v>
      </c>
      <c r="S135">
        <v>3.4000000000000002E-2</v>
      </c>
    </row>
    <row r="136" spans="1:20" x14ac:dyDescent="0.2">
      <c r="A136" t="s">
        <v>106</v>
      </c>
      <c r="B136" t="s">
        <v>218</v>
      </c>
      <c r="C136">
        <v>426</v>
      </c>
      <c r="D136" t="s">
        <v>219</v>
      </c>
      <c r="E136" t="s">
        <v>6</v>
      </c>
      <c r="F136">
        <v>3.141</v>
      </c>
      <c r="G136">
        <v>-0.27600000000000002</v>
      </c>
      <c r="H136">
        <v>-1.5960000000000001</v>
      </c>
      <c r="I136">
        <v>-6.4000000000000001E-2</v>
      </c>
      <c r="J136">
        <v>2E-3</v>
      </c>
      <c r="K136">
        <v>-0.85199999999999998</v>
      </c>
      <c r="L136" s="2">
        <f t="shared" si="1"/>
        <v>-0.28228200000000003</v>
      </c>
      <c r="M136">
        <v>0.56499999999999995</v>
      </c>
      <c r="N136">
        <v>0.64600000000000002</v>
      </c>
      <c r="O136">
        <v>0.65</v>
      </c>
      <c r="P136">
        <v>-0.41899999999999998</v>
      </c>
      <c r="Q136">
        <v>2E-3</v>
      </c>
      <c r="R136">
        <v>-1.2E-2</v>
      </c>
      <c r="S136">
        <v>0.629</v>
      </c>
      <c r="T136">
        <v>0.71</v>
      </c>
    </row>
    <row r="137" spans="1:20" x14ac:dyDescent="0.2">
      <c r="A137" t="s">
        <v>2</v>
      </c>
      <c r="B137" t="s">
        <v>218</v>
      </c>
      <c r="C137">
        <v>428</v>
      </c>
      <c r="D137" t="s">
        <v>220</v>
      </c>
      <c r="E137" t="s">
        <v>163</v>
      </c>
      <c r="F137">
        <v>15.223000000000001</v>
      </c>
      <c r="G137">
        <v>-0.81399999999999995</v>
      </c>
      <c r="H137">
        <v>40.738</v>
      </c>
      <c r="I137">
        <v>5.5259999999999998</v>
      </c>
      <c r="J137">
        <v>2E-3</v>
      </c>
      <c r="K137">
        <v>-0.85199999999999998</v>
      </c>
      <c r="L137" s="2">
        <f t="shared" si="1"/>
        <v>-0.84444599999999992</v>
      </c>
      <c r="M137">
        <v>8.0000000000000002E-3</v>
      </c>
      <c r="P137">
        <v>-4.3999999999999997E-2</v>
      </c>
      <c r="Q137">
        <v>2E-3</v>
      </c>
      <c r="R137">
        <v>-1.2E-2</v>
      </c>
      <c r="S137">
        <v>3.5999999999999997E-2</v>
      </c>
    </row>
    <row r="138" spans="1:20" x14ac:dyDescent="0.2">
      <c r="A138" t="s">
        <v>106</v>
      </c>
      <c r="B138" t="s">
        <v>218</v>
      </c>
      <c r="C138">
        <v>431</v>
      </c>
      <c r="D138" t="s">
        <v>221</v>
      </c>
      <c r="E138" t="s">
        <v>12</v>
      </c>
      <c r="F138">
        <v>17.334</v>
      </c>
      <c r="G138">
        <v>-0.53900000000000003</v>
      </c>
      <c r="H138">
        <v>27.498999999999999</v>
      </c>
      <c r="I138">
        <v>3.746</v>
      </c>
      <c r="J138">
        <v>2E-3</v>
      </c>
      <c r="K138">
        <v>-0.85199999999999998</v>
      </c>
      <c r="L138" s="2">
        <f t="shared" si="1"/>
        <v>-0.57366800000000007</v>
      </c>
      <c r="M138">
        <v>0.27600000000000002</v>
      </c>
      <c r="N138">
        <v>0.35699999999999998</v>
      </c>
      <c r="O138">
        <v>0.35199999999999998</v>
      </c>
      <c r="P138">
        <v>-0.23499999999999999</v>
      </c>
      <c r="Q138">
        <v>2E-3</v>
      </c>
      <c r="R138">
        <v>-1.2E-2</v>
      </c>
      <c r="S138">
        <v>0.32100000000000001</v>
      </c>
      <c r="T138">
        <v>0.40200000000000002</v>
      </c>
    </row>
    <row r="139" spans="1:20" x14ac:dyDescent="0.2">
      <c r="A139" t="s">
        <v>2</v>
      </c>
      <c r="B139" t="s">
        <v>222</v>
      </c>
      <c r="C139">
        <v>436</v>
      </c>
      <c r="D139" t="s">
        <v>223</v>
      </c>
      <c r="E139" t="s">
        <v>66</v>
      </c>
      <c r="F139">
        <v>-0.19500000000000001</v>
      </c>
      <c r="G139">
        <v>-0.85099999999999998</v>
      </c>
      <c r="H139">
        <v>5.0279999999999996</v>
      </c>
      <c r="I139">
        <v>1.113</v>
      </c>
      <c r="J139">
        <v>2E-3</v>
      </c>
      <c r="K139">
        <v>-0.85299999999999998</v>
      </c>
      <c r="L139" s="2">
        <f t="shared" si="1"/>
        <v>-0.85060999999999998</v>
      </c>
      <c r="M139">
        <v>2E-3</v>
      </c>
      <c r="P139">
        <v>-7.9000000000000001E-2</v>
      </c>
      <c r="Q139">
        <v>2E-3</v>
      </c>
      <c r="R139">
        <v>-1.2E-2</v>
      </c>
      <c r="S139">
        <v>2.9000000000000001E-2</v>
      </c>
    </row>
    <row r="140" spans="1:20" x14ac:dyDescent="0.2">
      <c r="A140" t="s">
        <v>106</v>
      </c>
      <c r="B140" t="s">
        <v>222</v>
      </c>
      <c r="C140">
        <v>437</v>
      </c>
      <c r="D140" t="s">
        <v>224</v>
      </c>
      <c r="E140" t="s">
        <v>6</v>
      </c>
      <c r="F140">
        <v>2.8359999999999999</v>
      </c>
      <c r="G140">
        <v>-0.26600000000000001</v>
      </c>
      <c r="H140">
        <v>-1.77</v>
      </c>
      <c r="I140">
        <v>0.128</v>
      </c>
      <c r="J140">
        <v>2E-3</v>
      </c>
      <c r="K140">
        <v>-0.85299999999999998</v>
      </c>
      <c r="L140" s="2">
        <f t="shared" si="1"/>
        <v>-0.27167200000000002</v>
      </c>
      <c r="M140">
        <v>0.57599999999999996</v>
      </c>
      <c r="N140">
        <v>0.65700000000000003</v>
      </c>
      <c r="O140">
        <v>0.65</v>
      </c>
      <c r="P140">
        <v>-0.19800000000000001</v>
      </c>
      <c r="Q140">
        <v>2E-3</v>
      </c>
      <c r="R140">
        <v>-1.2E-2</v>
      </c>
      <c r="S140">
        <v>0.64</v>
      </c>
      <c r="T140">
        <v>0.72099999999999997</v>
      </c>
    </row>
    <row r="141" spans="1:20" x14ac:dyDescent="0.2">
      <c r="A141" t="s">
        <v>2</v>
      </c>
      <c r="B141" t="s">
        <v>225</v>
      </c>
      <c r="C141">
        <v>453</v>
      </c>
      <c r="D141" t="s">
        <v>226</v>
      </c>
      <c r="E141" t="s">
        <v>227</v>
      </c>
      <c r="F141">
        <v>-0.34599999999999997</v>
      </c>
      <c r="G141">
        <v>-0.88200000000000001</v>
      </c>
      <c r="H141">
        <v>5.5670000000000002</v>
      </c>
      <c r="I141">
        <v>1.389</v>
      </c>
      <c r="J141">
        <v>2E-3</v>
      </c>
      <c r="K141">
        <v>-0.85399999999999998</v>
      </c>
      <c r="L141" s="2">
        <f t="shared" si="1"/>
        <v>-0.88130799999999998</v>
      </c>
      <c r="M141">
        <v>-2.7E-2</v>
      </c>
      <c r="P141">
        <v>7.4999999999999997E-2</v>
      </c>
      <c r="Q141">
        <v>2E-3</v>
      </c>
      <c r="R141">
        <v>-1.2E-2</v>
      </c>
      <c r="S141">
        <v>-1E-3</v>
      </c>
    </row>
    <row r="142" spans="1:20" x14ac:dyDescent="0.2">
      <c r="A142" t="s">
        <v>2</v>
      </c>
      <c r="B142" t="s">
        <v>228</v>
      </c>
      <c r="C142">
        <v>456</v>
      </c>
      <c r="D142" t="s">
        <v>229</v>
      </c>
      <c r="E142" t="s">
        <v>230</v>
      </c>
      <c r="F142">
        <v>13.811999999999999</v>
      </c>
      <c r="G142">
        <v>-0.79900000000000004</v>
      </c>
      <c r="H142">
        <v>38.393999999999998</v>
      </c>
      <c r="I142">
        <v>5.9359999999999999</v>
      </c>
      <c r="J142">
        <v>3.0000000000000001E-3</v>
      </c>
      <c r="K142">
        <v>-0.85399999999999998</v>
      </c>
      <c r="L142" s="2">
        <f t="shared" si="1"/>
        <v>-0.84043600000000007</v>
      </c>
      <c r="M142">
        <v>0.02</v>
      </c>
      <c r="P142">
        <v>8.5000000000000006E-2</v>
      </c>
      <c r="Q142">
        <v>3.0000000000000001E-3</v>
      </c>
      <c r="R142">
        <v>-1.2E-2</v>
      </c>
      <c r="S142">
        <v>4.8000000000000001E-2</v>
      </c>
    </row>
    <row r="143" spans="1:20" s="1" customFormat="1" x14ac:dyDescent="0.2">
      <c r="A143" s="1" t="s">
        <v>102</v>
      </c>
      <c r="B143" s="1" t="s">
        <v>228</v>
      </c>
      <c r="C143" s="1">
        <v>457</v>
      </c>
      <c r="D143" s="1" t="s">
        <v>231</v>
      </c>
      <c r="E143" s="1" t="s">
        <v>232</v>
      </c>
      <c r="F143" s="1">
        <v>1.6859999999999999</v>
      </c>
      <c r="G143" s="1">
        <v>-0.254</v>
      </c>
      <c r="H143" s="1">
        <v>10.694000000000001</v>
      </c>
      <c r="I143" s="1">
        <v>1.651</v>
      </c>
      <c r="J143" s="1">
        <v>3.0000000000000001E-3</v>
      </c>
      <c r="K143" s="1">
        <v>-0.85399999999999998</v>
      </c>
      <c r="L143" s="3">
        <f t="shared" si="1"/>
        <v>-0.25905800000000001</v>
      </c>
      <c r="M143" s="1">
        <v>0.59</v>
      </c>
      <c r="N143" s="1">
        <v>0.67100000000000004</v>
      </c>
      <c r="P143" s="1">
        <v>-0.38500000000000001</v>
      </c>
      <c r="Q143" s="1">
        <v>3.0000000000000001E-3</v>
      </c>
      <c r="R143" s="1">
        <v>-1.2E-2</v>
      </c>
      <c r="S143" s="1">
        <v>0.65500000000000003</v>
      </c>
      <c r="T143" s="1">
        <v>0.73599999999999999</v>
      </c>
    </row>
    <row r="144" spans="1:20" s="1" customFormat="1" x14ac:dyDescent="0.2">
      <c r="A144" s="1" t="s">
        <v>102</v>
      </c>
      <c r="B144" s="1" t="s">
        <v>228</v>
      </c>
      <c r="C144" s="1">
        <v>458</v>
      </c>
      <c r="D144" s="1" t="s">
        <v>233</v>
      </c>
      <c r="E144" s="1" t="s">
        <v>234</v>
      </c>
      <c r="F144" s="1">
        <v>1.3420000000000001</v>
      </c>
      <c r="G144" s="1">
        <v>-0.248</v>
      </c>
      <c r="H144" s="1">
        <v>10.803000000000001</v>
      </c>
      <c r="I144" s="1">
        <v>1.6879999999999999</v>
      </c>
      <c r="J144" s="1">
        <v>3.0000000000000001E-3</v>
      </c>
      <c r="K144" s="1">
        <v>-0.85499999999999998</v>
      </c>
      <c r="L144" s="3">
        <f t="shared" si="1"/>
        <v>-0.25202599999999997</v>
      </c>
      <c r="M144" s="1">
        <v>0.59699999999999998</v>
      </c>
      <c r="N144" s="1">
        <v>0.67800000000000005</v>
      </c>
      <c r="P144" s="1">
        <v>-0.37</v>
      </c>
      <c r="Q144" s="1">
        <v>3.0000000000000001E-3</v>
      </c>
      <c r="R144" s="1">
        <v>-1.0999999999999999E-2</v>
      </c>
      <c r="S144" s="1">
        <v>0.66200000000000003</v>
      </c>
      <c r="T144" s="1">
        <v>0.74299999999999999</v>
      </c>
    </row>
    <row r="145" spans="1:20" s="1" customFormat="1" x14ac:dyDescent="0.2">
      <c r="A145" s="1" t="s">
        <v>102</v>
      </c>
      <c r="B145" s="1" t="s">
        <v>235</v>
      </c>
      <c r="C145" s="1">
        <v>460</v>
      </c>
      <c r="D145" s="1" t="s">
        <v>236</v>
      </c>
      <c r="E145" s="1" t="s">
        <v>232</v>
      </c>
      <c r="F145" s="1">
        <v>1.653</v>
      </c>
      <c r="G145" s="1">
        <v>-0.248</v>
      </c>
      <c r="H145" s="1">
        <v>10.795999999999999</v>
      </c>
      <c r="I145" s="1">
        <v>1.7789999999999999</v>
      </c>
      <c r="J145" s="1">
        <v>3.0000000000000001E-3</v>
      </c>
      <c r="K145" s="1">
        <v>-0.85499999999999998</v>
      </c>
      <c r="L145" s="3">
        <f t="shared" si="1"/>
        <v>-0.25295899999999999</v>
      </c>
      <c r="M145" s="1">
        <v>0.59599999999999997</v>
      </c>
      <c r="N145" s="1">
        <v>0.67700000000000005</v>
      </c>
      <c r="P145" s="1">
        <v>-0.28999999999999998</v>
      </c>
      <c r="Q145" s="1">
        <v>3.0000000000000001E-3</v>
      </c>
      <c r="R145" s="1">
        <v>-1.0999999999999999E-2</v>
      </c>
      <c r="S145" s="1">
        <v>0.66100000000000003</v>
      </c>
      <c r="T145" s="1">
        <v>0.74199999999999999</v>
      </c>
    </row>
    <row r="146" spans="1:20" s="1" customFormat="1" x14ac:dyDescent="0.2">
      <c r="A146" s="1" t="s">
        <v>102</v>
      </c>
      <c r="B146" s="1" t="s">
        <v>235</v>
      </c>
      <c r="C146" s="1">
        <v>461</v>
      </c>
      <c r="D146" s="1" t="s">
        <v>237</v>
      </c>
      <c r="E146" s="1" t="s">
        <v>234</v>
      </c>
      <c r="F146" s="1">
        <v>1.33</v>
      </c>
      <c r="G146" s="1">
        <v>-0.26500000000000001</v>
      </c>
      <c r="H146" s="1">
        <v>10.801</v>
      </c>
      <c r="I146" s="1">
        <v>1.671</v>
      </c>
      <c r="J146" s="1">
        <v>3.0000000000000001E-3</v>
      </c>
      <c r="K146" s="1">
        <v>-0.85499999999999998</v>
      </c>
      <c r="L146" s="3">
        <f t="shared" si="1"/>
        <v>-0.26899000000000001</v>
      </c>
      <c r="M146" s="1">
        <v>0.57999999999999996</v>
      </c>
      <c r="N146" s="1">
        <v>0.66100000000000003</v>
      </c>
      <c r="P146" s="1">
        <v>-0.40500000000000003</v>
      </c>
      <c r="Q146" s="1">
        <v>3.0000000000000001E-3</v>
      </c>
      <c r="R146" s="1">
        <v>-1.0999999999999999E-2</v>
      </c>
      <c r="S146" s="1">
        <v>0.64400000000000002</v>
      </c>
      <c r="T146" s="1">
        <v>0.72499999999999998</v>
      </c>
    </row>
    <row r="147" spans="1:20" x14ac:dyDescent="0.2">
      <c r="A147" t="s">
        <v>2</v>
      </c>
      <c r="B147" t="s">
        <v>238</v>
      </c>
      <c r="C147">
        <v>462</v>
      </c>
      <c r="D147" t="s">
        <v>239</v>
      </c>
      <c r="E147" t="s">
        <v>217</v>
      </c>
      <c r="F147">
        <v>-1.2210000000000001</v>
      </c>
      <c r="G147">
        <v>-0.85299999999999998</v>
      </c>
      <c r="H147">
        <v>4.5060000000000002</v>
      </c>
      <c r="I147">
        <v>1.1160000000000001</v>
      </c>
      <c r="J147">
        <v>3.0000000000000001E-3</v>
      </c>
      <c r="K147">
        <v>-0.85499999999999998</v>
      </c>
      <c r="L147" s="2">
        <f t="shared" si="1"/>
        <v>-0.84933700000000001</v>
      </c>
      <c r="M147">
        <v>5.0000000000000001E-3</v>
      </c>
      <c r="P147">
        <v>-7.6999999999999999E-2</v>
      </c>
      <c r="Q147">
        <v>3.0000000000000001E-3</v>
      </c>
      <c r="R147">
        <v>-1.0999999999999999E-2</v>
      </c>
      <c r="S147">
        <v>3.2000000000000001E-2</v>
      </c>
    </row>
    <row r="148" spans="1:20" x14ac:dyDescent="0.2">
      <c r="A148" t="s">
        <v>106</v>
      </c>
      <c r="B148" t="s">
        <v>238</v>
      </c>
      <c r="C148">
        <v>463</v>
      </c>
      <c r="D148" t="s">
        <v>240</v>
      </c>
      <c r="E148" t="s">
        <v>6</v>
      </c>
      <c r="F148">
        <v>2.8969999999999998</v>
      </c>
      <c r="G148">
        <v>-0.25700000000000001</v>
      </c>
      <c r="H148">
        <v>-1.6180000000000001</v>
      </c>
      <c r="I148">
        <v>0.21299999999999999</v>
      </c>
      <c r="J148">
        <v>3.0000000000000001E-3</v>
      </c>
      <c r="K148">
        <v>-0.85499999999999998</v>
      </c>
      <c r="L148" s="2">
        <f t="shared" si="1"/>
        <v>-0.26569100000000001</v>
      </c>
      <c r="M148">
        <v>0.58399999999999996</v>
      </c>
      <c r="N148">
        <v>0.66500000000000004</v>
      </c>
      <c r="O148">
        <v>0.65</v>
      </c>
      <c r="P148">
        <v>-0.115</v>
      </c>
      <c r="Q148">
        <v>3.0000000000000001E-3</v>
      </c>
      <c r="R148">
        <v>-1.0999999999999999E-2</v>
      </c>
      <c r="S148">
        <v>0.64800000000000002</v>
      </c>
      <c r="T148">
        <v>0.72899999999999998</v>
      </c>
    </row>
    <row r="149" spans="1:20" x14ac:dyDescent="0.2">
      <c r="A149" t="s">
        <v>106</v>
      </c>
      <c r="B149" t="s">
        <v>241</v>
      </c>
      <c r="C149">
        <v>467</v>
      </c>
      <c r="D149" t="s">
        <v>242</v>
      </c>
      <c r="E149" t="s">
        <v>12</v>
      </c>
      <c r="F149">
        <v>17.382000000000001</v>
      </c>
      <c r="G149">
        <v>-0.53800000000000003</v>
      </c>
      <c r="H149">
        <v>28.206</v>
      </c>
      <c r="I149">
        <v>4.3479999999999999</v>
      </c>
      <c r="J149">
        <v>3.0000000000000001E-3</v>
      </c>
      <c r="K149">
        <v>-0.85499999999999998</v>
      </c>
      <c r="L149" s="2">
        <f t="shared" si="1"/>
        <v>-0.59014600000000006</v>
      </c>
      <c r="M149">
        <v>0.26600000000000001</v>
      </c>
      <c r="N149">
        <v>0.34699999999999998</v>
      </c>
      <c r="O149">
        <v>0.35199999999999998</v>
      </c>
      <c r="P149">
        <v>-0.27</v>
      </c>
      <c r="Q149">
        <v>3.0000000000000001E-3</v>
      </c>
      <c r="R149">
        <v>-1.0999999999999999E-2</v>
      </c>
      <c r="S149">
        <v>0.31</v>
      </c>
      <c r="T149">
        <v>0.39100000000000001</v>
      </c>
    </row>
    <row r="150" spans="1:20" x14ac:dyDescent="0.2">
      <c r="A150" t="s">
        <v>2</v>
      </c>
      <c r="B150" t="s">
        <v>241</v>
      </c>
      <c r="C150">
        <v>468</v>
      </c>
      <c r="D150" t="s">
        <v>243</v>
      </c>
      <c r="E150" t="s">
        <v>212</v>
      </c>
      <c r="F150">
        <v>15.047000000000001</v>
      </c>
      <c r="G150">
        <v>-0.83499999999999996</v>
      </c>
      <c r="H150">
        <v>41.648000000000003</v>
      </c>
      <c r="I150">
        <v>6.3159999999999998</v>
      </c>
      <c r="J150">
        <v>3.0000000000000001E-3</v>
      </c>
      <c r="K150">
        <v>-0.85499999999999998</v>
      </c>
      <c r="L150" s="2">
        <f t="shared" si="1"/>
        <v>-0.88014099999999995</v>
      </c>
      <c r="M150">
        <v>-2.1000000000000001E-2</v>
      </c>
      <c r="P150">
        <v>-0.26</v>
      </c>
      <c r="Q150">
        <v>3.0000000000000001E-3</v>
      </c>
      <c r="R150">
        <v>-1.0999999999999999E-2</v>
      </c>
      <c r="S150">
        <v>4.0000000000000001E-3</v>
      </c>
    </row>
    <row r="151" spans="1:20" x14ac:dyDescent="0.2">
      <c r="A151" t="s">
        <v>106</v>
      </c>
      <c r="B151" t="s">
        <v>244</v>
      </c>
      <c r="C151">
        <v>473</v>
      </c>
      <c r="D151" t="s">
        <v>245</v>
      </c>
      <c r="E151" t="s">
        <v>6</v>
      </c>
      <c r="F151">
        <v>2.9529999999999998</v>
      </c>
      <c r="G151">
        <v>-0.28799999999999998</v>
      </c>
      <c r="H151">
        <v>-1.8109999999999999</v>
      </c>
      <c r="I151">
        <v>-2.4E-2</v>
      </c>
      <c r="J151">
        <v>3.0000000000000001E-3</v>
      </c>
      <c r="K151">
        <v>-0.85599999999999998</v>
      </c>
      <c r="L151" s="2">
        <f t="shared" si="1"/>
        <v>-0.29685899999999998</v>
      </c>
      <c r="M151">
        <v>0.55200000000000005</v>
      </c>
      <c r="N151">
        <v>0.63300000000000001</v>
      </c>
      <c r="O151">
        <v>0.65</v>
      </c>
      <c r="P151">
        <v>-0.316</v>
      </c>
      <c r="Q151">
        <v>3.0000000000000001E-3</v>
      </c>
      <c r="R151">
        <v>-1.0999999999999999E-2</v>
      </c>
      <c r="S151">
        <v>0.61499999999999999</v>
      </c>
      <c r="T151">
        <v>0.69599999999999995</v>
      </c>
    </row>
    <row r="152" spans="1:20" x14ac:dyDescent="0.2">
      <c r="A152" t="s">
        <v>2</v>
      </c>
      <c r="B152" t="s">
        <v>244</v>
      </c>
      <c r="C152">
        <v>474</v>
      </c>
      <c r="D152" t="s">
        <v>246</v>
      </c>
      <c r="E152" t="s">
        <v>217</v>
      </c>
      <c r="F152">
        <v>0.20899999999999999</v>
      </c>
      <c r="G152">
        <v>-0.85</v>
      </c>
      <c r="H152">
        <v>6.3860000000000001</v>
      </c>
      <c r="I152">
        <v>1.5149999999999999</v>
      </c>
      <c r="J152">
        <v>3.0000000000000001E-3</v>
      </c>
      <c r="K152">
        <v>-0.85599999999999998</v>
      </c>
      <c r="L152" s="2">
        <f t="shared" si="1"/>
        <v>-0.85062700000000002</v>
      </c>
      <c r="M152">
        <v>5.0000000000000001E-3</v>
      </c>
      <c r="P152">
        <v>1.0999999999999999E-2</v>
      </c>
      <c r="Q152">
        <v>3.0000000000000001E-3</v>
      </c>
      <c r="R152">
        <v>-1.0999999999999999E-2</v>
      </c>
      <c r="S152">
        <v>3.3000000000000002E-2</v>
      </c>
    </row>
    <row r="153" spans="1:20" x14ac:dyDescent="0.2">
      <c r="A153" t="s">
        <v>106</v>
      </c>
      <c r="B153" t="s">
        <v>247</v>
      </c>
      <c r="C153">
        <v>479</v>
      </c>
      <c r="D153" t="s">
        <v>248</v>
      </c>
      <c r="E153" t="s">
        <v>12</v>
      </c>
      <c r="F153">
        <v>17.393999999999998</v>
      </c>
      <c r="G153">
        <v>-0.51500000000000001</v>
      </c>
      <c r="H153">
        <v>28.335999999999999</v>
      </c>
      <c r="I153">
        <v>4.4630000000000001</v>
      </c>
      <c r="J153">
        <v>3.0000000000000001E-3</v>
      </c>
      <c r="K153">
        <v>-0.85599999999999998</v>
      </c>
      <c r="L153" s="2">
        <f t="shared" si="1"/>
        <v>-0.56718199999999996</v>
      </c>
      <c r="M153">
        <v>0.28499999999999998</v>
      </c>
      <c r="N153">
        <v>0.36599999999999999</v>
      </c>
      <c r="O153">
        <v>0.35199999999999998</v>
      </c>
      <c r="P153">
        <v>-0.36699999999999999</v>
      </c>
      <c r="Q153">
        <v>3.0000000000000001E-3</v>
      </c>
      <c r="R153">
        <v>-0.01</v>
      </c>
      <c r="S153">
        <v>0.33</v>
      </c>
      <c r="T153">
        <v>0.41099999999999998</v>
      </c>
    </row>
    <row r="154" spans="1:20" x14ac:dyDescent="0.2">
      <c r="A154" t="s">
        <v>2</v>
      </c>
      <c r="B154" t="s">
        <v>249</v>
      </c>
      <c r="C154">
        <v>481</v>
      </c>
      <c r="D154" t="s">
        <v>250</v>
      </c>
      <c r="E154" t="s">
        <v>212</v>
      </c>
      <c r="F154">
        <v>14.086</v>
      </c>
      <c r="G154">
        <v>-0.81799999999999995</v>
      </c>
      <c r="H154">
        <v>39.011000000000003</v>
      </c>
      <c r="I154">
        <v>6.2060000000000004</v>
      </c>
      <c r="J154">
        <v>3.0000000000000001E-3</v>
      </c>
      <c r="K154">
        <v>-0.85699999999999998</v>
      </c>
      <c r="L154" s="2">
        <f t="shared" si="1"/>
        <v>-0.86025799999999997</v>
      </c>
      <c r="M154">
        <v>-5.0000000000000001E-3</v>
      </c>
      <c r="P154">
        <v>-0.27800000000000002</v>
      </c>
      <c r="Q154">
        <v>3.0000000000000001E-3</v>
      </c>
      <c r="R154">
        <v>-0.01</v>
      </c>
      <c r="S154">
        <v>2.1999999999999999E-2</v>
      </c>
    </row>
    <row r="155" spans="1:20" x14ac:dyDescent="0.2">
      <c r="A155" t="s">
        <v>106</v>
      </c>
      <c r="B155" t="s">
        <v>249</v>
      </c>
      <c r="C155">
        <v>482</v>
      </c>
      <c r="D155" t="s">
        <v>251</v>
      </c>
      <c r="E155" t="s">
        <v>6</v>
      </c>
      <c r="F155">
        <v>3.0049999999999999</v>
      </c>
      <c r="G155">
        <v>-0.26500000000000001</v>
      </c>
      <c r="H155">
        <v>-1.921</v>
      </c>
      <c r="I155">
        <v>-0.11</v>
      </c>
      <c r="J155">
        <v>3.0000000000000001E-3</v>
      </c>
      <c r="K155">
        <v>-0.85699999999999998</v>
      </c>
      <c r="L155" s="2">
        <f t="shared" si="1"/>
        <v>-0.27401500000000001</v>
      </c>
      <c r="M155">
        <v>0.57499999999999996</v>
      </c>
      <c r="N155">
        <v>0.65600000000000003</v>
      </c>
      <c r="O155">
        <v>0.65</v>
      </c>
      <c r="P155">
        <v>-0.379</v>
      </c>
      <c r="Q155">
        <v>3.0000000000000001E-3</v>
      </c>
      <c r="R155">
        <v>-0.01</v>
      </c>
      <c r="S155">
        <v>0.63800000000000001</v>
      </c>
      <c r="T155">
        <v>0.71899999999999997</v>
      </c>
    </row>
    <row r="156" spans="1:20" x14ac:dyDescent="0.2">
      <c r="A156" t="s">
        <v>2</v>
      </c>
      <c r="B156" t="s">
        <v>249</v>
      </c>
      <c r="C156">
        <v>484</v>
      </c>
      <c r="D156" t="s">
        <v>252</v>
      </c>
      <c r="E156" t="s">
        <v>217</v>
      </c>
      <c r="F156">
        <v>-0.96099999999999997</v>
      </c>
      <c r="G156">
        <v>-0.876</v>
      </c>
      <c r="H156">
        <v>4.76</v>
      </c>
      <c r="I156">
        <v>1.232</v>
      </c>
      <c r="J156">
        <v>3.0000000000000001E-3</v>
      </c>
      <c r="K156">
        <v>-0.85699999999999998</v>
      </c>
      <c r="L156" s="2">
        <f t="shared" si="1"/>
        <v>-0.87311700000000003</v>
      </c>
      <c r="M156">
        <v>-1.6E-2</v>
      </c>
      <c r="P156">
        <v>-6.0999999999999999E-2</v>
      </c>
      <c r="Q156">
        <v>3.0000000000000001E-3</v>
      </c>
      <c r="R156">
        <v>-0.01</v>
      </c>
      <c r="S156">
        <v>0.01</v>
      </c>
    </row>
    <row r="157" spans="1:20" x14ac:dyDescent="0.2">
      <c r="A157" t="s">
        <v>106</v>
      </c>
      <c r="B157" t="s">
        <v>253</v>
      </c>
      <c r="C157">
        <v>488</v>
      </c>
      <c r="D157" t="s">
        <v>254</v>
      </c>
      <c r="E157" t="s">
        <v>12</v>
      </c>
      <c r="F157">
        <v>17.385999999999999</v>
      </c>
      <c r="G157">
        <v>-0.52300000000000002</v>
      </c>
      <c r="H157">
        <v>28.617000000000001</v>
      </c>
      <c r="I157">
        <v>4.7729999999999997</v>
      </c>
      <c r="J157">
        <v>3.0000000000000001E-3</v>
      </c>
      <c r="K157">
        <v>-0.85699999999999998</v>
      </c>
      <c r="L157" s="2">
        <f t="shared" si="1"/>
        <v>-0.57515800000000006</v>
      </c>
      <c r="M157">
        <v>0.27400000000000002</v>
      </c>
      <c r="N157">
        <v>0.35499999999999998</v>
      </c>
      <c r="O157">
        <v>0.35199999999999998</v>
      </c>
      <c r="P157">
        <v>-0.249</v>
      </c>
      <c r="Q157">
        <v>3.0000000000000001E-3</v>
      </c>
      <c r="R157">
        <v>-0.01</v>
      </c>
      <c r="S157">
        <v>0.318</v>
      </c>
      <c r="T157">
        <v>0.39900000000000002</v>
      </c>
    </row>
    <row r="158" spans="1:20" x14ac:dyDescent="0.2">
      <c r="A158" t="s">
        <v>2</v>
      </c>
      <c r="B158" t="s">
        <v>253</v>
      </c>
      <c r="C158">
        <v>490</v>
      </c>
      <c r="D158" t="s">
        <v>255</v>
      </c>
      <c r="E158" t="s">
        <v>212</v>
      </c>
      <c r="F158">
        <v>14.023</v>
      </c>
      <c r="G158">
        <v>-0.78500000000000003</v>
      </c>
      <c r="H158">
        <v>38.811</v>
      </c>
      <c r="I158">
        <v>6.4669999999999996</v>
      </c>
      <c r="J158">
        <v>3.0000000000000001E-3</v>
      </c>
      <c r="K158">
        <v>-0.85799999999999998</v>
      </c>
      <c r="L158" s="2">
        <f t="shared" si="1"/>
        <v>-0.82706900000000005</v>
      </c>
      <c r="M158">
        <v>2.5999999999999999E-2</v>
      </c>
      <c r="P158">
        <v>-0.19</v>
      </c>
      <c r="Q158">
        <v>3.0000000000000001E-3</v>
      </c>
      <c r="R158">
        <v>-0.01</v>
      </c>
      <c r="S158">
        <v>5.5E-2</v>
      </c>
    </row>
    <row r="159" spans="1:20" x14ac:dyDescent="0.2">
      <c r="A159" t="s">
        <v>2</v>
      </c>
      <c r="B159" t="s">
        <v>256</v>
      </c>
      <c r="C159">
        <v>494</v>
      </c>
      <c r="D159" t="s">
        <v>257</v>
      </c>
      <c r="E159" t="s">
        <v>217</v>
      </c>
      <c r="F159">
        <v>-3.0000000000000001E-3</v>
      </c>
      <c r="G159">
        <v>-0.84799999999999998</v>
      </c>
      <c r="H159">
        <v>6.0679999999999996</v>
      </c>
      <c r="I159">
        <v>1.4750000000000001</v>
      </c>
      <c r="J159">
        <v>3.0000000000000001E-3</v>
      </c>
      <c r="K159">
        <v>-0.85799999999999998</v>
      </c>
      <c r="L159" s="2">
        <f t="shared" si="1"/>
        <v>-0.84799099999999994</v>
      </c>
      <c r="M159">
        <v>0.01</v>
      </c>
      <c r="P159">
        <v>-5.6000000000000001E-2</v>
      </c>
      <c r="Q159">
        <v>3.0000000000000001E-3</v>
      </c>
      <c r="R159">
        <v>-8.9999999999999993E-3</v>
      </c>
      <c r="S159">
        <v>3.6999999999999998E-2</v>
      </c>
    </row>
    <row r="160" spans="1:20" x14ac:dyDescent="0.2">
      <c r="A160" t="s">
        <v>106</v>
      </c>
      <c r="B160" t="s">
        <v>256</v>
      </c>
      <c r="C160">
        <v>495</v>
      </c>
      <c r="D160" t="s">
        <v>258</v>
      </c>
      <c r="E160" t="s">
        <v>6</v>
      </c>
      <c r="F160">
        <v>3.0129999999999999</v>
      </c>
      <c r="G160">
        <v>-0.25900000000000001</v>
      </c>
      <c r="H160">
        <v>-1.536</v>
      </c>
      <c r="I160">
        <v>-8.0000000000000002E-3</v>
      </c>
      <c r="J160">
        <v>3.0000000000000001E-3</v>
      </c>
      <c r="K160">
        <v>-0.85799999999999998</v>
      </c>
      <c r="L160" s="2">
        <f t="shared" si="1"/>
        <v>-0.26803900000000003</v>
      </c>
      <c r="M160">
        <v>0.57999999999999996</v>
      </c>
      <c r="N160">
        <v>0.66100000000000003</v>
      </c>
      <c r="O160">
        <v>0.65</v>
      </c>
      <c r="P160">
        <v>-0.32700000000000001</v>
      </c>
      <c r="Q160">
        <v>3.0000000000000001E-3</v>
      </c>
      <c r="R160">
        <v>-8.9999999999999993E-3</v>
      </c>
      <c r="S160">
        <v>0.64300000000000002</v>
      </c>
      <c r="T160">
        <v>0.72399999999999998</v>
      </c>
    </row>
    <row r="161" spans="1:20" x14ac:dyDescent="0.2">
      <c r="A161" t="s">
        <v>106</v>
      </c>
      <c r="B161" t="s">
        <v>259</v>
      </c>
      <c r="C161">
        <v>497</v>
      </c>
      <c r="D161" t="s">
        <v>260</v>
      </c>
      <c r="E161" t="s">
        <v>6</v>
      </c>
      <c r="F161">
        <v>2.9860000000000002</v>
      </c>
      <c r="G161">
        <v>-0.28299999999999997</v>
      </c>
      <c r="H161">
        <v>-1.548</v>
      </c>
      <c r="I161">
        <v>1.4999999999999999E-2</v>
      </c>
      <c r="J161">
        <v>3.0000000000000001E-3</v>
      </c>
      <c r="K161">
        <v>-0.85799999999999998</v>
      </c>
      <c r="L161" s="2">
        <f t="shared" si="1"/>
        <v>-0.291958</v>
      </c>
      <c r="M161">
        <v>0.55600000000000005</v>
      </c>
      <c r="N161">
        <v>0.63700000000000001</v>
      </c>
      <c r="O161">
        <v>0.65</v>
      </c>
      <c r="P161">
        <v>-0.30099999999999999</v>
      </c>
      <c r="Q161">
        <v>3.0000000000000001E-3</v>
      </c>
      <c r="R161">
        <v>-8.9999999999999993E-3</v>
      </c>
      <c r="S161">
        <v>0.61799999999999999</v>
      </c>
      <c r="T161">
        <v>0.69899999999999995</v>
      </c>
    </row>
    <row r="162" spans="1:20" x14ac:dyDescent="0.2">
      <c r="A162" t="s">
        <v>106</v>
      </c>
      <c r="B162" t="s">
        <v>259</v>
      </c>
      <c r="C162">
        <v>501</v>
      </c>
      <c r="D162" t="s">
        <v>261</v>
      </c>
      <c r="E162" t="s">
        <v>12</v>
      </c>
      <c r="F162">
        <v>17.419</v>
      </c>
      <c r="G162">
        <v>-0.52100000000000002</v>
      </c>
      <c r="H162">
        <v>29.050999999999998</v>
      </c>
      <c r="I162">
        <v>5.1520000000000001</v>
      </c>
      <c r="J162">
        <v>4.0000000000000001E-3</v>
      </c>
      <c r="K162">
        <v>-0.85899999999999999</v>
      </c>
      <c r="L162" s="2">
        <f t="shared" si="1"/>
        <v>-0.59067599999999998</v>
      </c>
      <c r="M162">
        <v>0.27200000000000002</v>
      </c>
      <c r="N162">
        <v>0.35299999999999998</v>
      </c>
      <c r="O162">
        <v>0.35199999999999998</v>
      </c>
      <c r="P162">
        <v>-0.16300000000000001</v>
      </c>
      <c r="Q162">
        <v>3.0000000000000001E-3</v>
      </c>
      <c r="R162">
        <v>-8.9999999999999993E-3</v>
      </c>
      <c r="S162">
        <v>0.315</v>
      </c>
      <c r="T162">
        <v>0.39600000000000002</v>
      </c>
    </row>
    <row r="163" spans="1:20" x14ac:dyDescent="0.2">
      <c r="A163" t="s">
        <v>2</v>
      </c>
      <c r="B163" t="s">
        <v>262</v>
      </c>
      <c r="C163">
        <v>503</v>
      </c>
      <c r="D163" t="s">
        <v>263</v>
      </c>
      <c r="E163" t="s">
        <v>212</v>
      </c>
      <c r="F163">
        <v>15.571</v>
      </c>
      <c r="G163">
        <v>-0.80300000000000005</v>
      </c>
      <c r="H163">
        <v>43.655000000000001</v>
      </c>
      <c r="I163">
        <v>7.532</v>
      </c>
      <c r="J163">
        <v>4.0000000000000001E-3</v>
      </c>
      <c r="K163">
        <v>-0.85899999999999999</v>
      </c>
      <c r="L163" s="2">
        <f t="shared" si="1"/>
        <v>-0.86528400000000005</v>
      </c>
      <c r="M163">
        <v>0</v>
      </c>
      <c r="P163">
        <v>-0.222</v>
      </c>
      <c r="Q163">
        <v>3.0000000000000001E-3</v>
      </c>
      <c r="R163">
        <v>-8.9999999999999993E-3</v>
      </c>
      <c r="S163">
        <v>2.7E-2</v>
      </c>
    </row>
    <row r="164" spans="1:20" x14ac:dyDescent="0.2">
      <c r="A164" t="s">
        <v>106</v>
      </c>
      <c r="B164" t="s">
        <v>262</v>
      </c>
      <c r="C164">
        <v>507</v>
      </c>
      <c r="D164" t="s">
        <v>264</v>
      </c>
      <c r="E164" t="s">
        <v>6</v>
      </c>
      <c r="F164">
        <v>2.9460000000000002</v>
      </c>
      <c r="G164">
        <v>-0.27200000000000002</v>
      </c>
      <c r="H164">
        <v>-1.76</v>
      </c>
      <c r="I164">
        <v>-4.7E-2</v>
      </c>
      <c r="J164">
        <v>4.0000000000000001E-3</v>
      </c>
      <c r="K164">
        <v>-0.85899999999999999</v>
      </c>
      <c r="L164" s="2">
        <f t="shared" si="1"/>
        <v>-0.28378400000000004</v>
      </c>
      <c r="M164">
        <v>0.56699999999999995</v>
      </c>
      <c r="N164">
        <v>0.64800000000000002</v>
      </c>
      <c r="O164">
        <v>0.65</v>
      </c>
      <c r="P164">
        <v>-0.32100000000000001</v>
      </c>
      <c r="Q164">
        <v>3.0000000000000001E-3</v>
      </c>
      <c r="R164">
        <v>-8.0000000000000002E-3</v>
      </c>
      <c r="S164">
        <v>0.628</v>
      </c>
      <c r="T164">
        <v>0.70899999999999996</v>
      </c>
    </row>
    <row r="165" spans="1:20" x14ac:dyDescent="0.2">
      <c r="A165" t="s">
        <v>106</v>
      </c>
      <c r="B165" t="s">
        <v>265</v>
      </c>
      <c r="C165">
        <v>510</v>
      </c>
      <c r="D165" t="s">
        <v>266</v>
      </c>
      <c r="E165" t="s">
        <v>6</v>
      </c>
      <c r="F165">
        <v>2.968</v>
      </c>
      <c r="G165">
        <v>-0.27700000000000002</v>
      </c>
      <c r="H165">
        <v>-1.6279999999999999</v>
      </c>
      <c r="I165">
        <v>0.04</v>
      </c>
      <c r="J165">
        <v>4.0000000000000001E-3</v>
      </c>
      <c r="K165">
        <v>-0.85899999999999999</v>
      </c>
      <c r="L165" s="2">
        <f t="shared" si="1"/>
        <v>-0.28887200000000002</v>
      </c>
      <c r="M165">
        <v>0.56200000000000006</v>
      </c>
      <c r="N165">
        <v>0.64300000000000002</v>
      </c>
      <c r="O165">
        <v>0.65</v>
      </c>
      <c r="P165">
        <v>-0.254</v>
      </c>
      <c r="Q165">
        <v>3.0000000000000001E-3</v>
      </c>
      <c r="R165">
        <v>-8.0000000000000002E-3</v>
      </c>
      <c r="S165">
        <v>0.623</v>
      </c>
      <c r="T165">
        <v>0.70399999999999996</v>
      </c>
    </row>
    <row r="166" spans="1:20" x14ac:dyDescent="0.2">
      <c r="A166" t="s">
        <v>106</v>
      </c>
      <c r="B166" t="s">
        <v>265</v>
      </c>
      <c r="C166">
        <v>513</v>
      </c>
      <c r="D166" t="s">
        <v>267</v>
      </c>
      <c r="E166" t="s">
        <v>12</v>
      </c>
      <c r="F166">
        <v>17.449000000000002</v>
      </c>
      <c r="G166">
        <v>-0.51600000000000001</v>
      </c>
      <c r="H166">
        <v>29.404</v>
      </c>
      <c r="I166">
        <v>5.4160000000000004</v>
      </c>
      <c r="J166">
        <v>4.0000000000000001E-3</v>
      </c>
      <c r="K166">
        <v>-0.86</v>
      </c>
      <c r="L166" s="2">
        <f t="shared" si="1"/>
        <v>-0.58579599999999998</v>
      </c>
      <c r="M166">
        <v>0.27200000000000002</v>
      </c>
      <c r="N166">
        <v>0.35299999999999998</v>
      </c>
      <c r="O166">
        <v>0.35199999999999998</v>
      </c>
      <c r="P166">
        <v>-0.17199999999999999</v>
      </c>
      <c r="Q166">
        <v>3.0000000000000001E-3</v>
      </c>
      <c r="R166">
        <v>-8.0000000000000002E-3</v>
      </c>
      <c r="S166">
        <v>0.316</v>
      </c>
      <c r="T166">
        <v>0.39700000000000002</v>
      </c>
    </row>
    <row r="167" spans="1:20" x14ac:dyDescent="0.2">
      <c r="A167" t="s">
        <v>2</v>
      </c>
      <c r="B167" t="s">
        <v>265</v>
      </c>
      <c r="C167">
        <v>514</v>
      </c>
      <c r="D167" t="s">
        <v>268</v>
      </c>
      <c r="E167" t="s">
        <v>212</v>
      </c>
      <c r="F167">
        <v>15.134</v>
      </c>
      <c r="G167">
        <v>-0.81899999999999995</v>
      </c>
      <c r="H167">
        <v>42.981000000000002</v>
      </c>
      <c r="I167">
        <v>7.7629999999999999</v>
      </c>
      <c r="J167">
        <v>4.0000000000000001E-3</v>
      </c>
      <c r="K167">
        <v>-0.86</v>
      </c>
      <c r="L167" s="2">
        <f t="shared" si="1"/>
        <v>-0.87953599999999998</v>
      </c>
      <c r="M167">
        <v>-1.7000000000000001E-2</v>
      </c>
      <c r="P167">
        <v>-0.16800000000000001</v>
      </c>
      <c r="Q167">
        <v>3.0000000000000001E-3</v>
      </c>
      <c r="R167">
        <v>-8.0000000000000002E-3</v>
      </c>
      <c r="S167">
        <v>8.9999999999999993E-3</v>
      </c>
    </row>
    <row r="168" spans="1:20" x14ac:dyDescent="0.2">
      <c r="A168" t="s">
        <v>118</v>
      </c>
      <c r="B168" t="s">
        <v>269</v>
      </c>
      <c r="C168">
        <v>515</v>
      </c>
      <c r="D168" t="s">
        <v>270</v>
      </c>
      <c r="E168" t="s">
        <v>33</v>
      </c>
      <c r="F168">
        <v>16.488</v>
      </c>
      <c r="G168">
        <v>3.5000000000000003E-2</v>
      </c>
      <c r="H168">
        <v>44.651000000000003</v>
      </c>
      <c r="I168">
        <v>7.5330000000000004</v>
      </c>
      <c r="J168">
        <v>4.0000000000000001E-3</v>
      </c>
      <c r="K168">
        <v>-0.86</v>
      </c>
      <c r="L168" s="2">
        <f t="shared" si="1"/>
        <v>-3.0951999999999993E-2</v>
      </c>
      <c r="M168">
        <v>0.81699999999999995</v>
      </c>
      <c r="P168">
        <v>-0.71199999999999997</v>
      </c>
      <c r="Q168">
        <v>3.0000000000000001E-3</v>
      </c>
      <c r="R168">
        <v>-8.0000000000000002E-3</v>
      </c>
      <c r="S168">
        <v>0.89300000000000002</v>
      </c>
    </row>
    <row r="169" spans="1:20" x14ac:dyDescent="0.2">
      <c r="A169" t="s">
        <v>2</v>
      </c>
      <c r="B169" t="s">
        <v>269</v>
      </c>
      <c r="C169">
        <v>516</v>
      </c>
      <c r="D169" t="s">
        <v>271</v>
      </c>
      <c r="E169" t="s">
        <v>217</v>
      </c>
      <c r="F169">
        <v>0.442</v>
      </c>
      <c r="G169">
        <v>-0.85299999999999998</v>
      </c>
      <c r="H169">
        <v>6.8129999999999997</v>
      </c>
      <c r="I169">
        <v>1.792</v>
      </c>
      <c r="J169">
        <v>4.0000000000000001E-3</v>
      </c>
      <c r="K169">
        <v>-0.86</v>
      </c>
      <c r="L169" s="2">
        <f t="shared" si="1"/>
        <v>-0.85476799999999997</v>
      </c>
      <c r="M169">
        <v>5.0000000000000001E-3</v>
      </c>
      <c r="P169">
        <v>4.5999999999999999E-2</v>
      </c>
      <c r="Q169">
        <v>3.0000000000000001E-3</v>
      </c>
      <c r="R169">
        <v>-8.0000000000000002E-3</v>
      </c>
      <c r="S169">
        <v>3.2000000000000001E-2</v>
      </c>
    </row>
    <row r="170" spans="1:20" x14ac:dyDescent="0.2">
      <c r="A170" t="s">
        <v>106</v>
      </c>
      <c r="B170" t="s">
        <v>272</v>
      </c>
      <c r="C170">
        <v>521</v>
      </c>
      <c r="D170" t="s">
        <v>273</v>
      </c>
      <c r="E170" t="s">
        <v>6</v>
      </c>
      <c r="F170">
        <v>2.9249999999999998</v>
      </c>
      <c r="G170">
        <v>-0.28499999999999998</v>
      </c>
      <c r="H170">
        <v>-2.004</v>
      </c>
      <c r="I170">
        <v>-0.25700000000000001</v>
      </c>
      <c r="J170">
        <v>4.0000000000000001E-3</v>
      </c>
      <c r="K170">
        <v>-0.86</v>
      </c>
      <c r="L170" s="2">
        <f t="shared" si="1"/>
        <v>-0.29669999999999996</v>
      </c>
      <c r="M170">
        <v>0.55400000000000005</v>
      </c>
      <c r="N170">
        <v>0.63500000000000001</v>
      </c>
      <c r="O170">
        <v>0.65</v>
      </c>
      <c r="P170">
        <v>-0.47699999999999998</v>
      </c>
      <c r="Q170">
        <v>4.0000000000000001E-3</v>
      </c>
      <c r="R170">
        <v>-7.0000000000000001E-3</v>
      </c>
      <c r="S170">
        <v>0.61299999999999999</v>
      </c>
      <c r="T170">
        <v>0.69399999999999995</v>
      </c>
    </row>
    <row r="171" spans="1:20" x14ac:dyDescent="0.2">
      <c r="A171" t="s">
        <v>2</v>
      </c>
      <c r="B171" t="s">
        <v>272</v>
      </c>
      <c r="C171">
        <v>524</v>
      </c>
      <c r="D171" t="s">
        <v>274</v>
      </c>
      <c r="E171" t="s">
        <v>212</v>
      </c>
      <c r="F171">
        <v>15.574</v>
      </c>
      <c r="G171">
        <v>-0.8</v>
      </c>
      <c r="H171">
        <v>44.685000000000002</v>
      </c>
      <c r="I171">
        <v>8.3569999999999993</v>
      </c>
      <c r="J171">
        <v>4.0000000000000001E-3</v>
      </c>
      <c r="K171">
        <v>-0.86099999999999999</v>
      </c>
      <c r="L171" s="2">
        <f t="shared" si="1"/>
        <v>-0.86229600000000006</v>
      </c>
      <c r="M171">
        <v>-3.0000000000000001E-3</v>
      </c>
      <c r="P171">
        <v>-0.14299999999999999</v>
      </c>
      <c r="Q171">
        <v>4.0000000000000001E-3</v>
      </c>
      <c r="R171">
        <v>-7.0000000000000001E-3</v>
      </c>
      <c r="S171">
        <v>2.4E-2</v>
      </c>
    </row>
    <row r="172" spans="1:20" x14ac:dyDescent="0.2">
      <c r="A172" t="s">
        <v>106</v>
      </c>
      <c r="B172" t="s">
        <v>275</v>
      </c>
      <c r="C172">
        <v>527</v>
      </c>
      <c r="D172" t="s">
        <v>276</v>
      </c>
      <c r="E172" t="s">
        <v>12</v>
      </c>
      <c r="F172">
        <v>17.402000000000001</v>
      </c>
      <c r="G172">
        <v>-0.51100000000000001</v>
      </c>
      <c r="H172">
        <v>29.780999999999999</v>
      </c>
      <c r="I172">
        <v>5.8659999999999997</v>
      </c>
      <c r="J172">
        <v>4.0000000000000001E-3</v>
      </c>
      <c r="K172">
        <v>-0.86099999999999999</v>
      </c>
      <c r="L172" s="2">
        <f t="shared" si="1"/>
        <v>-0.58060800000000001</v>
      </c>
      <c r="M172">
        <v>0.27300000000000002</v>
      </c>
      <c r="N172">
        <v>0.35399999999999998</v>
      </c>
      <c r="O172">
        <v>0.35199999999999998</v>
      </c>
      <c r="P172">
        <v>-4.7E-2</v>
      </c>
      <c r="Q172">
        <v>4.0000000000000001E-3</v>
      </c>
      <c r="R172">
        <v>-7.0000000000000001E-3</v>
      </c>
      <c r="S172">
        <v>0.315</v>
      </c>
      <c r="T172">
        <v>0.39600000000000002</v>
      </c>
    </row>
    <row r="173" spans="1:20" x14ac:dyDescent="0.2">
      <c r="A173" t="s">
        <v>118</v>
      </c>
      <c r="B173" t="s">
        <v>275</v>
      </c>
      <c r="C173">
        <v>530</v>
      </c>
      <c r="D173" t="s">
        <v>277</v>
      </c>
      <c r="E173" t="s">
        <v>87</v>
      </c>
      <c r="F173">
        <v>16.515999999999998</v>
      </c>
      <c r="G173">
        <v>6.6000000000000003E-2</v>
      </c>
      <c r="H173">
        <v>45.314</v>
      </c>
      <c r="I173">
        <v>8.1460000000000008</v>
      </c>
      <c r="J173">
        <v>4.0000000000000001E-3</v>
      </c>
      <c r="K173">
        <v>-0.86099999999999999</v>
      </c>
      <c r="L173" s="2">
        <f t="shared" si="1"/>
        <v>-6.3999999999994617E-5</v>
      </c>
      <c r="M173">
        <v>0.84099999999999997</v>
      </c>
      <c r="P173">
        <v>-0.63700000000000001</v>
      </c>
      <c r="Q173">
        <v>4.0000000000000001E-3</v>
      </c>
      <c r="R173">
        <v>-6.0000000000000001E-3</v>
      </c>
      <c r="S173">
        <v>0.91700000000000004</v>
      </c>
    </row>
    <row r="174" spans="1:20" x14ac:dyDescent="0.2">
      <c r="A174" t="s">
        <v>106</v>
      </c>
      <c r="B174" t="s">
        <v>278</v>
      </c>
      <c r="C174">
        <v>532</v>
      </c>
      <c r="D174" t="s">
        <v>279</v>
      </c>
      <c r="E174" t="s">
        <v>6</v>
      </c>
      <c r="F174">
        <v>2.8839999999999999</v>
      </c>
      <c r="G174">
        <v>-0.29899999999999999</v>
      </c>
      <c r="H174">
        <v>-1.738</v>
      </c>
      <c r="I174">
        <v>2.1999999999999999E-2</v>
      </c>
      <c r="J174">
        <v>4.0000000000000001E-3</v>
      </c>
      <c r="K174">
        <v>-0.86199999999999999</v>
      </c>
      <c r="L174" s="2">
        <f t="shared" si="1"/>
        <v>-0.31053599999999998</v>
      </c>
      <c r="M174">
        <v>0.54</v>
      </c>
      <c r="N174">
        <v>0.621</v>
      </c>
      <c r="O174">
        <v>0.65</v>
      </c>
      <c r="P174">
        <v>-0.23699999999999999</v>
      </c>
      <c r="Q174">
        <v>4.0000000000000001E-3</v>
      </c>
      <c r="R174">
        <v>-6.0000000000000001E-3</v>
      </c>
      <c r="S174">
        <v>0.59799999999999998</v>
      </c>
      <c r="T174">
        <v>0.67900000000000005</v>
      </c>
    </row>
    <row r="175" spans="1:20" x14ac:dyDescent="0.2">
      <c r="A175" t="s">
        <v>2</v>
      </c>
      <c r="B175" t="s">
        <v>280</v>
      </c>
      <c r="C175">
        <v>536</v>
      </c>
      <c r="D175" t="s">
        <v>281</v>
      </c>
      <c r="E175" t="s">
        <v>217</v>
      </c>
      <c r="F175">
        <v>0.82099999999999995</v>
      </c>
      <c r="G175">
        <v>-0.85799999999999998</v>
      </c>
      <c r="H175">
        <v>7.3719999999999999</v>
      </c>
      <c r="I175">
        <v>2.0110000000000001</v>
      </c>
      <c r="J175">
        <v>4.0000000000000001E-3</v>
      </c>
      <c r="K175">
        <v>-0.86199999999999999</v>
      </c>
      <c r="L175" s="2">
        <f t="shared" si="1"/>
        <v>-0.86128399999999994</v>
      </c>
      <c r="M175">
        <v>0</v>
      </c>
      <c r="P175">
        <v>7.0999999999999994E-2</v>
      </c>
      <c r="Q175">
        <v>4.0000000000000001E-3</v>
      </c>
      <c r="R175">
        <v>-6.0000000000000001E-3</v>
      </c>
      <c r="S175">
        <v>2.7E-2</v>
      </c>
    </row>
    <row r="176" spans="1:20" s="1" customFormat="1" x14ac:dyDescent="0.2">
      <c r="A176" s="1" t="s">
        <v>102</v>
      </c>
      <c r="B176" s="1" t="s">
        <v>280</v>
      </c>
      <c r="C176" s="1">
        <v>537</v>
      </c>
      <c r="D176" s="1" t="s">
        <v>282</v>
      </c>
      <c r="E176" s="1" t="s">
        <v>232</v>
      </c>
      <c r="F176" s="1">
        <v>1.726</v>
      </c>
      <c r="G176" s="1">
        <v>-0.24</v>
      </c>
      <c r="H176" s="1">
        <v>11.464</v>
      </c>
      <c r="I176" s="1">
        <v>2.3239999999999998</v>
      </c>
      <c r="J176" s="1">
        <v>4.0000000000000001E-3</v>
      </c>
      <c r="K176" s="1">
        <v>-0.86199999999999999</v>
      </c>
      <c r="L176" s="3">
        <f t="shared" si="1"/>
        <v>-0.24690399999999998</v>
      </c>
      <c r="M176" s="1">
        <v>0.60299999999999998</v>
      </c>
      <c r="N176" s="1">
        <v>0.68400000000000005</v>
      </c>
      <c r="P176" s="1">
        <v>-0.38100000000000001</v>
      </c>
      <c r="Q176" s="1">
        <v>4.0000000000000001E-3</v>
      </c>
      <c r="R176" s="1">
        <v>-5.0000000000000001E-3</v>
      </c>
      <c r="S176" s="1">
        <v>0.66400000000000003</v>
      </c>
      <c r="T176" s="1">
        <v>0.745</v>
      </c>
    </row>
    <row r="177" spans="1:20" x14ac:dyDescent="0.2">
      <c r="A177" t="s">
        <v>106</v>
      </c>
      <c r="B177" t="s">
        <v>280</v>
      </c>
      <c r="C177">
        <v>538</v>
      </c>
      <c r="D177" t="s">
        <v>283</v>
      </c>
      <c r="E177" t="s">
        <v>6</v>
      </c>
      <c r="F177">
        <v>2.8759999999999999</v>
      </c>
      <c r="G177">
        <v>-0.27800000000000002</v>
      </c>
      <c r="H177">
        <v>-2.0550000000000002</v>
      </c>
      <c r="I177">
        <v>-0.193</v>
      </c>
      <c r="J177">
        <v>4.0000000000000001E-3</v>
      </c>
      <c r="K177">
        <v>-0.86199999999999999</v>
      </c>
      <c r="L177" s="2">
        <f t="shared" si="1"/>
        <v>-0.28950400000000004</v>
      </c>
      <c r="M177">
        <v>0.56000000000000005</v>
      </c>
      <c r="N177">
        <v>0.64100000000000001</v>
      </c>
      <c r="O177">
        <v>0.65</v>
      </c>
      <c r="P177">
        <v>-0.38800000000000001</v>
      </c>
      <c r="Q177">
        <v>4.0000000000000001E-3</v>
      </c>
      <c r="R177">
        <v>-5.0000000000000001E-3</v>
      </c>
      <c r="S177">
        <v>0.61899999999999999</v>
      </c>
      <c r="T177">
        <v>0.7</v>
      </c>
    </row>
    <row r="178" spans="1:20" s="1" customFormat="1" x14ac:dyDescent="0.2">
      <c r="A178" s="1" t="s">
        <v>102</v>
      </c>
      <c r="B178" s="1" t="s">
        <v>280</v>
      </c>
      <c r="C178" s="1">
        <v>539</v>
      </c>
      <c r="D178" s="1" t="s">
        <v>284</v>
      </c>
      <c r="E178" s="1" t="s">
        <v>234</v>
      </c>
      <c r="F178" s="1">
        <v>1.355</v>
      </c>
      <c r="G178" s="1">
        <v>-0.23699999999999999</v>
      </c>
      <c r="H178" s="1">
        <v>11.669</v>
      </c>
      <c r="I178" s="1">
        <v>2.516</v>
      </c>
      <c r="J178" s="1">
        <v>4.0000000000000001E-3</v>
      </c>
      <c r="K178" s="1">
        <v>-0.86199999999999999</v>
      </c>
      <c r="L178" s="3">
        <f t="shared" si="1"/>
        <v>-0.24242</v>
      </c>
      <c r="M178" s="1">
        <v>0.60699999999999998</v>
      </c>
      <c r="N178" s="1">
        <v>0.68799999999999994</v>
      </c>
      <c r="P178" s="1">
        <v>-0.24199999999999999</v>
      </c>
      <c r="Q178" s="1">
        <v>4.0000000000000001E-3</v>
      </c>
      <c r="R178" s="1">
        <v>-5.0000000000000001E-3</v>
      </c>
      <c r="S178" s="1">
        <v>0.66800000000000004</v>
      </c>
      <c r="T178" s="1">
        <v>0.749</v>
      </c>
    </row>
    <row r="179" spans="1:20" s="1" customFormat="1" x14ac:dyDescent="0.2">
      <c r="A179" s="1" t="s">
        <v>102</v>
      </c>
      <c r="B179" s="1" t="s">
        <v>280</v>
      </c>
      <c r="C179" s="1">
        <v>540</v>
      </c>
      <c r="D179" s="1" t="s">
        <v>285</v>
      </c>
      <c r="E179" s="1" t="s">
        <v>286</v>
      </c>
      <c r="F179" s="1">
        <v>4.9989999999999997</v>
      </c>
      <c r="G179" s="1">
        <v>-0.221</v>
      </c>
      <c r="H179" s="1">
        <v>12.069000000000001</v>
      </c>
      <c r="I179" s="1">
        <v>2.4369999999999998</v>
      </c>
      <c r="J179" s="1">
        <v>4.0000000000000001E-3</v>
      </c>
      <c r="K179" s="1">
        <v>-0.86199999999999999</v>
      </c>
      <c r="L179" s="3">
        <f t="shared" si="1"/>
        <v>-0.24099599999999999</v>
      </c>
      <c r="M179" s="1">
        <v>0.60699999999999998</v>
      </c>
      <c r="N179" s="1">
        <v>0.68799999999999994</v>
      </c>
      <c r="P179" s="1">
        <v>-0.40400000000000003</v>
      </c>
      <c r="Q179" s="1">
        <v>4.0000000000000001E-3</v>
      </c>
      <c r="R179" s="1">
        <v>-5.0000000000000001E-3</v>
      </c>
      <c r="S179" s="1">
        <v>0.66800000000000004</v>
      </c>
      <c r="T179" s="1">
        <v>0.749</v>
      </c>
    </row>
    <row r="180" spans="1:20" x14ac:dyDescent="0.2">
      <c r="A180" t="s">
        <v>2</v>
      </c>
      <c r="B180" t="s">
        <v>287</v>
      </c>
      <c r="C180">
        <v>541</v>
      </c>
      <c r="D180" t="s">
        <v>288</v>
      </c>
      <c r="E180" t="s">
        <v>289</v>
      </c>
      <c r="F180">
        <v>13.95</v>
      </c>
      <c r="G180">
        <v>-0.82</v>
      </c>
      <c r="H180">
        <v>41.155999999999999</v>
      </c>
      <c r="I180">
        <v>8.3059999999999992</v>
      </c>
      <c r="J180">
        <v>5.0000000000000001E-3</v>
      </c>
      <c r="K180">
        <v>-0.86199999999999999</v>
      </c>
      <c r="L180" s="2">
        <f t="shared" si="1"/>
        <v>-0.88974999999999993</v>
      </c>
      <c r="M180">
        <v>-0.02</v>
      </c>
      <c r="P180">
        <v>-1.4E-2</v>
      </c>
      <c r="Q180">
        <v>4.0000000000000001E-3</v>
      </c>
      <c r="R180">
        <v>-5.0000000000000001E-3</v>
      </c>
      <c r="S180">
        <v>6.0000000000000001E-3</v>
      </c>
    </row>
    <row r="181" spans="1:20" s="1" customFormat="1" x14ac:dyDescent="0.2">
      <c r="A181" s="1" t="s">
        <v>102</v>
      </c>
      <c r="B181" s="1" t="s">
        <v>287</v>
      </c>
      <c r="C181" s="1">
        <v>542</v>
      </c>
      <c r="D181" s="1" t="s">
        <v>290</v>
      </c>
      <c r="E181" s="1" t="s">
        <v>291</v>
      </c>
      <c r="F181" s="1">
        <v>5.9349999999999996</v>
      </c>
      <c r="G181" s="1">
        <v>-0.219</v>
      </c>
      <c r="H181" s="1">
        <v>11.999000000000001</v>
      </c>
      <c r="I181" s="1">
        <v>2.5099999999999998</v>
      </c>
      <c r="J181" s="1">
        <v>5.0000000000000001E-3</v>
      </c>
      <c r="K181" s="1">
        <v>-0.86299999999999999</v>
      </c>
      <c r="L181" s="3">
        <f t="shared" si="1"/>
        <v>-0.24867500000000001</v>
      </c>
      <c r="M181" s="1">
        <v>0.60399999999999998</v>
      </c>
      <c r="N181" s="1">
        <v>0.68500000000000005</v>
      </c>
      <c r="P181" s="1">
        <v>-0.33400000000000002</v>
      </c>
      <c r="Q181" s="1">
        <v>4.0000000000000001E-3</v>
      </c>
      <c r="R181" s="1">
        <v>-5.0000000000000001E-3</v>
      </c>
      <c r="S181" s="1">
        <v>0.66500000000000004</v>
      </c>
      <c r="T181" s="1">
        <v>0.746</v>
      </c>
    </row>
    <row r="182" spans="1:20" s="1" customFormat="1" x14ac:dyDescent="0.2">
      <c r="A182" s="1" t="s">
        <v>102</v>
      </c>
      <c r="B182" s="1" t="s">
        <v>287</v>
      </c>
      <c r="C182" s="1">
        <v>543</v>
      </c>
      <c r="D182" s="1" t="s">
        <v>292</v>
      </c>
      <c r="E182" s="1" t="s">
        <v>286</v>
      </c>
      <c r="F182" s="1">
        <v>4.9749999999999996</v>
      </c>
      <c r="G182" s="1">
        <v>-0.217</v>
      </c>
      <c r="H182" s="1">
        <v>12.252000000000001</v>
      </c>
      <c r="I182" s="1">
        <v>2.6949999999999998</v>
      </c>
      <c r="J182" s="1">
        <v>5.0000000000000001E-3</v>
      </c>
      <c r="K182" s="1">
        <v>-0.86299999999999999</v>
      </c>
      <c r="L182" s="3">
        <f t="shared" si="1"/>
        <v>-0.24187500000000001</v>
      </c>
      <c r="M182" s="1">
        <v>0.61</v>
      </c>
      <c r="N182" s="1">
        <v>0.69099999999999995</v>
      </c>
      <c r="P182" s="1">
        <v>-0.20499999999999999</v>
      </c>
      <c r="Q182" s="1">
        <v>4.0000000000000001E-3</v>
      </c>
      <c r="R182" s="1">
        <v>-5.0000000000000001E-3</v>
      </c>
      <c r="S182" s="1">
        <v>0.67200000000000004</v>
      </c>
      <c r="T182" s="1">
        <v>0.753</v>
      </c>
    </row>
    <row r="183" spans="1:20" x14ac:dyDescent="0.2">
      <c r="A183" t="s">
        <v>106</v>
      </c>
      <c r="B183" t="s">
        <v>287</v>
      </c>
      <c r="C183">
        <v>544</v>
      </c>
      <c r="D183" t="s">
        <v>293</v>
      </c>
      <c r="E183" t="s">
        <v>6</v>
      </c>
      <c r="F183">
        <v>2.8969999999999998</v>
      </c>
      <c r="G183">
        <v>-0.27400000000000002</v>
      </c>
      <c r="H183">
        <v>-1.772</v>
      </c>
      <c r="I183">
        <v>-6.0999999999999999E-2</v>
      </c>
      <c r="J183">
        <v>5.0000000000000001E-3</v>
      </c>
      <c r="K183">
        <v>-0.86299999999999999</v>
      </c>
      <c r="L183" s="2">
        <f t="shared" si="1"/>
        <v>-0.28848500000000005</v>
      </c>
      <c r="M183">
        <v>0.56399999999999995</v>
      </c>
      <c r="N183">
        <v>0.64500000000000002</v>
      </c>
      <c r="O183">
        <v>0.65</v>
      </c>
      <c r="P183">
        <v>-0.30399999999999999</v>
      </c>
      <c r="Q183">
        <v>4.0000000000000001E-3</v>
      </c>
      <c r="R183">
        <v>-5.0000000000000001E-3</v>
      </c>
      <c r="S183">
        <v>0.622</v>
      </c>
      <c r="T183">
        <v>0.70299999999999996</v>
      </c>
    </row>
    <row r="184" spans="1:20" x14ac:dyDescent="0.2">
      <c r="A184" t="s">
        <v>106</v>
      </c>
      <c r="B184" t="s">
        <v>287</v>
      </c>
      <c r="C184">
        <v>545</v>
      </c>
      <c r="D184" t="s">
        <v>294</v>
      </c>
      <c r="E184" t="s">
        <v>12</v>
      </c>
      <c r="F184">
        <v>17.399999999999999</v>
      </c>
      <c r="G184">
        <v>-0.49399999999999999</v>
      </c>
      <c r="H184">
        <v>30.39</v>
      </c>
      <c r="I184">
        <v>6.4870000000000001</v>
      </c>
      <c r="J184">
        <v>5.0000000000000001E-3</v>
      </c>
      <c r="K184">
        <v>-0.86299999999999999</v>
      </c>
      <c r="L184" s="2">
        <f t="shared" si="1"/>
        <v>-0.58099999999999996</v>
      </c>
      <c r="M184">
        <v>0.28299999999999997</v>
      </c>
      <c r="N184">
        <v>0.36399999999999999</v>
      </c>
      <c r="O184">
        <v>0.35199999999999998</v>
      </c>
      <c r="P184">
        <v>0.112</v>
      </c>
      <c r="Q184">
        <v>4.0000000000000001E-3</v>
      </c>
      <c r="R184">
        <v>-5.0000000000000001E-3</v>
      </c>
      <c r="S184">
        <v>0.32600000000000001</v>
      </c>
      <c r="T184">
        <v>0.40699999999999997</v>
      </c>
    </row>
    <row r="185" spans="1:20" x14ac:dyDescent="0.2">
      <c r="A185" t="s">
        <v>2</v>
      </c>
      <c r="B185" t="s">
        <v>287</v>
      </c>
      <c r="C185">
        <v>546</v>
      </c>
      <c r="D185" t="s">
        <v>295</v>
      </c>
      <c r="E185" t="s">
        <v>296</v>
      </c>
      <c r="F185">
        <v>-1.2270000000000001</v>
      </c>
      <c r="G185">
        <v>-0.84799999999999998</v>
      </c>
      <c r="H185">
        <v>4.4240000000000004</v>
      </c>
      <c r="I185">
        <v>1.482</v>
      </c>
      <c r="J185">
        <v>5.0000000000000001E-3</v>
      </c>
      <c r="K185">
        <v>-0.86299999999999999</v>
      </c>
      <c r="L185" s="2">
        <f t="shared" si="1"/>
        <v>-0.84186499999999997</v>
      </c>
      <c r="M185">
        <v>0.02</v>
      </c>
      <c r="P185">
        <v>5.5E-2</v>
      </c>
      <c r="Q185">
        <v>4.0000000000000001E-3</v>
      </c>
      <c r="R185">
        <v>-4.0000000000000001E-3</v>
      </c>
      <c r="S185">
        <v>4.8000000000000001E-2</v>
      </c>
    </row>
    <row r="186" spans="1:20" s="1" customFormat="1" x14ac:dyDescent="0.2">
      <c r="A186" s="1" t="s">
        <v>102</v>
      </c>
      <c r="B186" s="1" t="s">
        <v>297</v>
      </c>
      <c r="C186" s="1">
        <v>547</v>
      </c>
      <c r="D186" s="1" t="s">
        <v>298</v>
      </c>
      <c r="E186" s="1" t="s">
        <v>291</v>
      </c>
      <c r="F186" s="1">
        <v>5.9969999999999999</v>
      </c>
      <c r="G186" s="1">
        <v>-0.20200000000000001</v>
      </c>
      <c r="H186" s="1">
        <v>12.254</v>
      </c>
      <c r="I186" s="1">
        <v>2.6989999999999998</v>
      </c>
      <c r="J186" s="1">
        <v>5.0000000000000001E-3</v>
      </c>
      <c r="K186" s="1">
        <v>-0.86299999999999999</v>
      </c>
      <c r="L186" s="3">
        <f t="shared" si="1"/>
        <v>-0.23198500000000002</v>
      </c>
      <c r="M186" s="1">
        <v>0.62</v>
      </c>
      <c r="N186" s="1">
        <v>0.70099999999999996</v>
      </c>
      <c r="P186" s="1">
        <v>-0.23400000000000001</v>
      </c>
      <c r="Q186" s="1">
        <v>4.0000000000000001E-3</v>
      </c>
      <c r="R186" s="1">
        <v>-4.0000000000000001E-3</v>
      </c>
      <c r="S186" s="1">
        <v>0.68100000000000005</v>
      </c>
      <c r="T186" s="1">
        <v>0.76200000000000001</v>
      </c>
    </row>
    <row r="187" spans="1:20" s="1" customFormat="1" x14ac:dyDescent="0.2">
      <c r="A187" s="1" t="s">
        <v>102</v>
      </c>
      <c r="B187" s="1" t="s">
        <v>297</v>
      </c>
      <c r="C187" s="1">
        <v>548</v>
      </c>
      <c r="D187" s="1" t="s">
        <v>299</v>
      </c>
      <c r="E187" s="1" t="s">
        <v>300</v>
      </c>
      <c r="F187" s="1">
        <v>5.6470000000000002</v>
      </c>
      <c r="G187" s="1">
        <v>-0.27100000000000002</v>
      </c>
      <c r="H187" s="1">
        <v>14.308999999999999</v>
      </c>
      <c r="I187" s="1">
        <v>3.22</v>
      </c>
      <c r="J187" s="1">
        <v>5.0000000000000001E-3</v>
      </c>
      <c r="K187" s="1">
        <v>-0.86299999999999999</v>
      </c>
      <c r="L187" s="3">
        <f t="shared" si="1"/>
        <v>-0.29923500000000003</v>
      </c>
      <c r="M187" s="1">
        <v>0.55400000000000005</v>
      </c>
      <c r="N187" s="1">
        <v>0.63500000000000001</v>
      </c>
      <c r="P187" s="1">
        <v>-0.11700000000000001</v>
      </c>
      <c r="Q187" s="1">
        <v>4.0000000000000001E-3</v>
      </c>
      <c r="R187" s="1">
        <v>-4.0000000000000001E-3</v>
      </c>
      <c r="S187" s="1">
        <v>0.61199999999999999</v>
      </c>
      <c r="T187" s="1">
        <v>0.69299999999999995</v>
      </c>
    </row>
    <row r="188" spans="1:20" s="1" customFormat="1" x14ac:dyDescent="0.2">
      <c r="A188" s="1" t="s">
        <v>102</v>
      </c>
      <c r="B188" s="1" t="s">
        <v>297</v>
      </c>
      <c r="C188" s="1">
        <v>549</v>
      </c>
      <c r="D188" s="1" t="s">
        <v>301</v>
      </c>
      <c r="E188" s="1" t="s">
        <v>291</v>
      </c>
      <c r="F188" s="1">
        <v>5.9909999999999997</v>
      </c>
      <c r="G188" s="1">
        <v>-0.22</v>
      </c>
      <c r="H188" s="1">
        <v>12.268000000000001</v>
      </c>
      <c r="I188" s="1">
        <v>2.7189999999999999</v>
      </c>
      <c r="J188" s="1">
        <v>5.0000000000000001E-3</v>
      </c>
      <c r="K188" s="1">
        <v>-0.86299999999999999</v>
      </c>
      <c r="L188" s="3">
        <f t="shared" si="1"/>
        <v>-0.24995500000000001</v>
      </c>
      <c r="M188" s="1">
        <v>0.60199999999999998</v>
      </c>
      <c r="N188" s="1">
        <v>0.68300000000000005</v>
      </c>
      <c r="P188" s="1">
        <v>-0.23400000000000001</v>
      </c>
      <c r="Q188" s="1">
        <v>4.0000000000000001E-3</v>
      </c>
      <c r="R188" s="1">
        <v>-4.0000000000000001E-3</v>
      </c>
      <c r="S188" s="1">
        <v>0.66200000000000003</v>
      </c>
      <c r="T188" s="1">
        <v>0.74299999999999999</v>
      </c>
    </row>
    <row r="189" spans="1:20" s="1" customFormat="1" x14ac:dyDescent="0.2">
      <c r="A189" s="1" t="s">
        <v>102</v>
      </c>
      <c r="B189" s="1" t="s">
        <v>297</v>
      </c>
      <c r="C189" s="1">
        <v>550</v>
      </c>
      <c r="D189" s="1" t="s">
        <v>302</v>
      </c>
      <c r="E189" s="1" t="s">
        <v>286</v>
      </c>
      <c r="F189" s="1">
        <v>4.9820000000000002</v>
      </c>
      <c r="G189" s="1">
        <v>-0.22900000000000001</v>
      </c>
      <c r="H189" s="1">
        <v>12.25</v>
      </c>
      <c r="I189" s="1">
        <v>2.6850000000000001</v>
      </c>
      <c r="J189" s="1">
        <v>5.0000000000000001E-3</v>
      </c>
      <c r="K189" s="1">
        <v>-0.86299999999999999</v>
      </c>
      <c r="L189" s="3">
        <f t="shared" si="1"/>
        <v>-0.25391000000000002</v>
      </c>
      <c r="M189" s="1">
        <v>0.59799999999999998</v>
      </c>
      <c r="N189" s="1">
        <v>0.67900000000000005</v>
      </c>
      <c r="P189" s="1">
        <v>-0.27200000000000002</v>
      </c>
      <c r="Q189" s="1">
        <v>4.0000000000000001E-3</v>
      </c>
      <c r="R189" s="1">
        <v>-4.0000000000000001E-3</v>
      </c>
      <c r="S189" s="1">
        <v>0.65800000000000003</v>
      </c>
      <c r="T189" s="1">
        <v>0.73899999999999999</v>
      </c>
    </row>
    <row r="190" spans="1:20" x14ac:dyDescent="0.2">
      <c r="A190" t="s">
        <v>106</v>
      </c>
      <c r="B190" t="s">
        <v>303</v>
      </c>
      <c r="C190">
        <v>551</v>
      </c>
      <c r="D190" t="s">
        <v>304</v>
      </c>
      <c r="E190" t="s">
        <v>169</v>
      </c>
      <c r="F190">
        <v>2.29</v>
      </c>
      <c r="G190">
        <v>-0.27900000000000003</v>
      </c>
      <c r="H190">
        <v>19.318000000000001</v>
      </c>
      <c r="I190">
        <v>4.2709999999999999</v>
      </c>
      <c r="J190">
        <v>5.0000000000000001E-3</v>
      </c>
      <c r="K190">
        <v>-0.86299999999999999</v>
      </c>
      <c r="L190" s="2">
        <f t="shared" si="1"/>
        <v>-0.29045000000000004</v>
      </c>
      <c r="M190">
        <v>0.56100000000000005</v>
      </c>
      <c r="N190">
        <v>0.64200000000000002</v>
      </c>
      <c r="O190">
        <v>0.64100000000000001</v>
      </c>
      <c r="P190">
        <v>-7.0000000000000007E-2</v>
      </c>
      <c r="Q190">
        <v>4.0000000000000001E-3</v>
      </c>
      <c r="R190">
        <v>-4.0000000000000001E-3</v>
      </c>
      <c r="S190">
        <v>0.61899999999999999</v>
      </c>
      <c r="T190">
        <v>0.7</v>
      </c>
    </row>
    <row r="191" spans="1:20" x14ac:dyDescent="0.2">
      <c r="A191" t="s">
        <v>2</v>
      </c>
      <c r="B191" t="s">
        <v>303</v>
      </c>
      <c r="C191">
        <v>552</v>
      </c>
      <c r="D191" t="s">
        <v>305</v>
      </c>
      <c r="E191" t="s">
        <v>306</v>
      </c>
      <c r="F191">
        <v>13.79</v>
      </c>
      <c r="G191">
        <v>-0.79700000000000004</v>
      </c>
      <c r="H191">
        <v>41.284999999999997</v>
      </c>
      <c r="I191">
        <v>8.6780000000000008</v>
      </c>
      <c r="J191">
        <v>5.0000000000000001E-3</v>
      </c>
      <c r="K191">
        <v>-0.86399999999999999</v>
      </c>
      <c r="L191" s="2">
        <f t="shared" si="1"/>
        <v>-0.86595</v>
      </c>
      <c r="M191">
        <v>1E-3</v>
      </c>
      <c r="P191">
        <v>3.5999999999999997E-2</v>
      </c>
      <c r="Q191">
        <v>4.0000000000000001E-3</v>
      </c>
      <c r="R191">
        <v>-4.0000000000000001E-3</v>
      </c>
      <c r="S191">
        <v>2.8000000000000001E-2</v>
      </c>
    </row>
    <row r="192" spans="1:20" x14ac:dyDescent="0.2">
      <c r="A192" t="s">
        <v>2</v>
      </c>
      <c r="B192" t="s">
        <v>307</v>
      </c>
      <c r="C192">
        <v>557</v>
      </c>
      <c r="D192" t="s">
        <v>308</v>
      </c>
      <c r="E192" t="s">
        <v>309</v>
      </c>
      <c r="F192">
        <v>-0.11799999999999999</v>
      </c>
      <c r="G192">
        <v>-0.876</v>
      </c>
      <c r="H192">
        <v>6.5049999999999999</v>
      </c>
      <c r="I192">
        <v>1.871</v>
      </c>
      <c r="J192">
        <v>5.0000000000000001E-3</v>
      </c>
      <c r="K192">
        <v>-0.86399999999999999</v>
      </c>
      <c r="L192" s="2">
        <f t="shared" si="1"/>
        <v>-0.87541000000000002</v>
      </c>
      <c r="M192">
        <v>-1.0999999999999999E-2</v>
      </c>
      <c r="P192">
        <v>-5.0000000000000001E-3</v>
      </c>
      <c r="Q192">
        <v>4.0000000000000001E-3</v>
      </c>
      <c r="R192">
        <v>-3.0000000000000001E-3</v>
      </c>
      <c r="S192">
        <v>1.4999999999999999E-2</v>
      </c>
    </row>
    <row r="193" spans="1:20" x14ac:dyDescent="0.2">
      <c r="A193" t="s">
        <v>2</v>
      </c>
      <c r="B193" t="s">
        <v>310</v>
      </c>
      <c r="C193">
        <v>561</v>
      </c>
      <c r="D193" t="s">
        <v>311</v>
      </c>
      <c r="E193" t="s">
        <v>312</v>
      </c>
      <c r="F193">
        <v>14.491</v>
      </c>
      <c r="G193">
        <v>-0.79200000000000004</v>
      </c>
      <c r="H193">
        <v>43.158000000000001</v>
      </c>
      <c r="I193">
        <v>9.2219999999999995</v>
      </c>
      <c r="J193">
        <v>5.0000000000000001E-3</v>
      </c>
      <c r="K193">
        <v>-0.86399999999999999</v>
      </c>
      <c r="L193" s="2">
        <f t="shared" si="1"/>
        <v>-0.86445500000000008</v>
      </c>
      <c r="M193">
        <v>0</v>
      </c>
      <c r="P193">
        <v>-4.3999999999999997E-2</v>
      </c>
      <c r="Q193">
        <v>4.0000000000000001E-3</v>
      </c>
      <c r="R193">
        <v>-3.0000000000000001E-3</v>
      </c>
      <c r="S193">
        <v>2.7E-2</v>
      </c>
    </row>
    <row r="194" spans="1:20" x14ac:dyDescent="0.2">
      <c r="A194" t="s">
        <v>2</v>
      </c>
      <c r="B194" t="s">
        <v>313</v>
      </c>
      <c r="C194">
        <v>566</v>
      </c>
      <c r="D194" t="s">
        <v>314</v>
      </c>
      <c r="E194" t="s">
        <v>315</v>
      </c>
      <c r="F194">
        <v>-0.31</v>
      </c>
      <c r="G194">
        <v>-0.86799999999999999</v>
      </c>
      <c r="H194">
        <v>6.0880000000000001</v>
      </c>
      <c r="I194">
        <v>1.879</v>
      </c>
      <c r="J194">
        <v>5.0000000000000001E-3</v>
      </c>
      <c r="K194">
        <v>-0.86499999999999999</v>
      </c>
      <c r="L194" s="2">
        <f t="shared" si="1"/>
        <v>-0.86644999999999994</v>
      </c>
      <c r="M194">
        <v>-1E-3</v>
      </c>
      <c r="P194">
        <v>4.5999999999999999E-2</v>
      </c>
      <c r="Q194">
        <v>4.0000000000000001E-3</v>
      </c>
      <c r="R194">
        <v>-2E-3</v>
      </c>
      <c r="S194">
        <v>2.5999999999999999E-2</v>
      </c>
    </row>
    <row r="195" spans="1:20" x14ac:dyDescent="0.2">
      <c r="A195" t="s">
        <v>2</v>
      </c>
      <c r="B195" t="s">
        <v>316</v>
      </c>
      <c r="C195">
        <v>569</v>
      </c>
      <c r="D195" t="s">
        <v>317</v>
      </c>
      <c r="E195" t="s">
        <v>318</v>
      </c>
      <c r="F195">
        <v>14.946999999999999</v>
      </c>
      <c r="G195">
        <v>-0.77100000000000002</v>
      </c>
      <c r="H195">
        <v>44.777000000000001</v>
      </c>
      <c r="I195">
        <v>9.83</v>
      </c>
      <c r="J195">
        <v>5.0000000000000001E-3</v>
      </c>
      <c r="K195">
        <v>-0.86499999999999999</v>
      </c>
      <c r="L195" s="2">
        <f t="shared" si="1"/>
        <v>-0.84573500000000001</v>
      </c>
      <c r="M195">
        <v>1.6E-2</v>
      </c>
      <c r="P195">
        <v>-3.0000000000000001E-3</v>
      </c>
      <c r="Q195">
        <v>4.0000000000000001E-3</v>
      </c>
      <c r="R195">
        <v>-1E-3</v>
      </c>
      <c r="S195">
        <v>4.3999999999999997E-2</v>
      </c>
    </row>
    <row r="196" spans="1:20" x14ac:dyDescent="0.2">
      <c r="A196" t="s">
        <v>118</v>
      </c>
      <c r="B196" t="s">
        <v>316</v>
      </c>
      <c r="C196">
        <v>570</v>
      </c>
      <c r="D196" t="s">
        <v>319</v>
      </c>
      <c r="E196" t="s">
        <v>100</v>
      </c>
      <c r="F196">
        <v>-2.4089999999999998</v>
      </c>
      <c r="G196">
        <v>-1.0999999999999999E-2</v>
      </c>
      <c r="H196">
        <v>-0.95699999999999996</v>
      </c>
      <c r="I196">
        <v>-0.27700000000000002</v>
      </c>
      <c r="J196">
        <v>5.0000000000000001E-3</v>
      </c>
      <c r="K196">
        <v>-0.86499999999999999</v>
      </c>
      <c r="L196" s="2">
        <f t="shared" si="1"/>
        <v>1.0450000000000008E-3</v>
      </c>
      <c r="M196">
        <v>0.84699999999999998</v>
      </c>
      <c r="P196">
        <v>-0.66900000000000004</v>
      </c>
      <c r="Q196">
        <v>4.0000000000000001E-3</v>
      </c>
      <c r="R196">
        <v>-1E-3</v>
      </c>
      <c r="S196">
        <v>0.91800000000000004</v>
      </c>
    </row>
    <row r="197" spans="1:20" x14ac:dyDescent="0.2">
      <c r="A197" t="s">
        <v>106</v>
      </c>
      <c r="B197" t="s">
        <v>316</v>
      </c>
      <c r="C197">
        <v>571</v>
      </c>
      <c r="D197" t="s">
        <v>320</v>
      </c>
      <c r="E197" t="s">
        <v>37</v>
      </c>
      <c r="F197">
        <v>16.986999999999998</v>
      </c>
      <c r="G197">
        <v>-0.48399999999999999</v>
      </c>
      <c r="H197">
        <v>29.968</v>
      </c>
      <c r="I197">
        <v>6.6740000000000004</v>
      </c>
      <c r="J197">
        <v>5.0000000000000001E-3</v>
      </c>
      <c r="K197">
        <v>-0.86499999999999999</v>
      </c>
      <c r="L197" s="2">
        <f t="shared" si="1"/>
        <v>-0.56893499999999997</v>
      </c>
      <c r="M197">
        <v>0.28499999999999998</v>
      </c>
      <c r="N197">
        <v>0.36599999999999999</v>
      </c>
      <c r="O197">
        <v>0.35199999999999998</v>
      </c>
      <c r="P197">
        <v>-0.14299999999999999</v>
      </c>
      <c r="Q197">
        <v>4.0000000000000001E-3</v>
      </c>
      <c r="R197">
        <v>-1E-3</v>
      </c>
      <c r="S197">
        <v>0.32700000000000001</v>
      </c>
      <c r="T197">
        <v>0.40799999999999997</v>
      </c>
    </row>
    <row r="198" spans="1:20" x14ac:dyDescent="0.2">
      <c r="A198" t="s">
        <v>106</v>
      </c>
      <c r="B198" t="s">
        <v>321</v>
      </c>
      <c r="C198">
        <v>575</v>
      </c>
      <c r="D198" t="s">
        <v>322</v>
      </c>
      <c r="E198" t="s">
        <v>169</v>
      </c>
      <c r="F198">
        <v>1.9339999999999999</v>
      </c>
      <c r="G198">
        <v>-0.308</v>
      </c>
      <c r="H198">
        <v>19.506</v>
      </c>
      <c r="I198">
        <v>4.6840000000000002</v>
      </c>
      <c r="J198">
        <v>5.0000000000000001E-3</v>
      </c>
      <c r="K198">
        <v>-0.86599999999999999</v>
      </c>
      <c r="L198" s="2">
        <f t="shared" si="1"/>
        <v>-0.31767000000000001</v>
      </c>
      <c r="M198">
        <v>0.53400000000000003</v>
      </c>
      <c r="N198">
        <v>0.61499999999999999</v>
      </c>
      <c r="O198">
        <v>0.64100000000000001</v>
      </c>
      <c r="P198">
        <v>-1.4E-2</v>
      </c>
      <c r="Q198">
        <v>4.0000000000000001E-3</v>
      </c>
      <c r="R198">
        <v>-1E-3</v>
      </c>
      <c r="S198">
        <v>0.58899999999999997</v>
      </c>
      <c r="T198">
        <v>0.67</v>
      </c>
    </row>
    <row r="199" spans="1:20" x14ac:dyDescent="0.2">
      <c r="A199" t="s">
        <v>2</v>
      </c>
      <c r="B199" t="s">
        <v>323</v>
      </c>
      <c r="C199">
        <v>578</v>
      </c>
      <c r="D199" t="s">
        <v>324</v>
      </c>
      <c r="E199" t="s">
        <v>66</v>
      </c>
      <c r="F199">
        <v>-0.45800000000000002</v>
      </c>
      <c r="G199">
        <v>-0.871</v>
      </c>
      <c r="H199">
        <v>6.4119999999999999</v>
      </c>
      <c r="I199">
        <v>2.0209999999999999</v>
      </c>
      <c r="J199">
        <v>5.0000000000000001E-3</v>
      </c>
      <c r="K199">
        <v>-0.86599999999999999</v>
      </c>
      <c r="L199" s="2">
        <f t="shared" ref="L199:L262" si="2">G199-F199*J199</f>
        <v>-0.86870999999999998</v>
      </c>
      <c r="M199">
        <v>-2E-3</v>
      </c>
      <c r="P199">
        <v>6.5000000000000002E-2</v>
      </c>
      <c r="Q199">
        <v>4.0000000000000001E-3</v>
      </c>
      <c r="R199">
        <v>0</v>
      </c>
      <c r="S199">
        <v>2.5000000000000001E-2</v>
      </c>
    </row>
    <row r="200" spans="1:20" x14ac:dyDescent="0.2">
      <c r="A200" t="s">
        <v>118</v>
      </c>
      <c r="B200" t="s">
        <v>323</v>
      </c>
      <c r="C200">
        <v>580</v>
      </c>
      <c r="D200" t="s">
        <v>325</v>
      </c>
      <c r="E200" t="s">
        <v>87</v>
      </c>
      <c r="F200">
        <v>16.349</v>
      </c>
      <c r="G200">
        <v>6.6000000000000003E-2</v>
      </c>
      <c r="H200">
        <v>47.329000000000001</v>
      </c>
      <c r="I200">
        <v>10.407</v>
      </c>
      <c r="J200">
        <v>6.0000000000000001E-3</v>
      </c>
      <c r="K200">
        <v>-0.86599999999999999</v>
      </c>
      <c r="L200" s="2">
        <f t="shared" si="2"/>
        <v>-3.2093999999999998E-2</v>
      </c>
      <c r="M200">
        <v>0.82199999999999995</v>
      </c>
      <c r="P200">
        <v>-0.31</v>
      </c>
      <c r="Q200">
        <v>4.0000000000000001E-3</v>
      </c>
      <c r="R200">
        <v>0</v>
      </c>
      <c r="S200">
        <v>0.89</v>
      </c>
    </row>
    <row r="201" spans="1:20" x14ac:dyDescent="0.2">
      <c r="A201" t="s">
        <v>118</v>
      </c>
      <c r="B201" t="s">
        <v>323</v>
      </c>
      <c r="C201">
        <v>581</v>
      </c>
      <c r="D201" t="s">
        <v>326</v>
      </c>
      <c r="E201" t="s">
        <v>327</v>
      </c>
      <c r="F201">
        <v>0.41899999999999998</v>
      </c>
      <c r="G201">
        <v>-8.5000000000000006E-2</v>
      </c>
      <c r="H201">
        <v>6.5170000000000003</v>
      </c>
      <c r="I201">
        <v>1.536</v>
      </c>
      <c r="J201">
        <v>6.0000000000000001E-3</v>
      </c>
      <c r="K201">
        <v>-0.86699999999999999</v>
      </c>
      <c r="L201" s="2">
        <f t="shared" si="2"/>
        <v>-8.7514000000000008E-2</v>
      </c>
      <c r="M201">
        <v>0.76</v>
      </c>
      <c r="P201">
        <v>-0.45700000000000002</v>
      </c>
      <c r="Q201">
        <v>5.0000000000000001E-3</v>
      </c>
      <c r="R201">
        <v>0</v>
      </c>
      <c r="S201">
        <v>0.82499999999999996</v>
      </c>
    </row>
    <row r="202" spans="1:20" x14ac:dyDescent="0.2">
      <c r="A202" t="s">
        <v>118</v>
      </c>
      <c r="B202" t="s">
        <v>328</v>
      </c>
      <c r="C202">
        <v>582</v>
      </c>
      <c r="D202" t="s">
        <v>329</v>
      </c>
      <c r="E202" t="s">
        <v>330</v>
      </c>
      <c r="F202">
        <v>11.981999999999999</v>
      </c>
      <c r="G202">
        <v>0.221</v>
      </c>
      <c r="H202">
        <v>34.942999999999998</v>
      </c>
      <c r="I202">
        <v>7.5960000000000001</v>
      </c>
      <c r="J202">
        <v>6.0000000000000001E-3</v>
      </c>
      <c r="K202">
        <v>-0.86699999999999999</v>
      </c>
      <c r="L202" s="2">
        <f t="shared" si="2"/>
        <v>0.14910800000000002</v>
      </c>
      <c r="M202">
        <v>0.996</v>
      </c>
      <c r="P202">
        <v>-0.52100000000000002</v>
      </c>
      <c r="Q202">
        <v>5.0000000000000001E-3</v>
      </c>
      <c r="R202">
        <v>1E-3</v>
      </c>
      <c r="S202">
        <v>1.0720000000000001</v>
      </c>
    </row>
    <row r="203" spans="1:20" x14ac:dyDescent="0.2">
      <c r="A203" t="s">
        <v>118</v>
      </c>
      <c r="B203" t="s">
        <v>328</v>
      </c>
      <c r="C203">
        <v>583</v>
      </c>
      <c r="D203" t="s">
        <v>329</v>
      </c>
      <c r="E203" t="s">
        <v>331</v>
      </c>
      <c r="F203">
        <v>6.4009999999999998</v>
      </c>
      <c r="G203">
        <v>1.7999999999999999E-2</v>
      </c>
      <c r="H203">
        <v>21.055</v>
      </c>
      <c r="I203">
        <v>4.7560000000000002</v>
      </c>
      <c r="J203">
        <v>6.0000000000000001E-3</v>
      </c>
      <c r="K203">
        <v>-0.86699999999999999</v>
      </c>
      <c r="L203" s="2">
        <f t="shared" si="2"/>
        <v>-2.0406000000000004E-2</v>
      </c>
      <c r="M203">
        <v>0.82799999999999996</v>
      </c>
      <c r="P203">
        <v>-0.38600000000000001</v>
      </c>
      <c r="Q203">
        <v>5.0000000000000001E-3</v>
      </c>
      <c r="R203">
        <v>1E-3</v>
      </c>
      <c r="S203">
        <v>0.89600000000000002</v>
      </c>
    </row>
    <row r="204" spans="1:20" x14ac:dyDescent="0.2">
      <c r="A204" t="s">
        <v>2</v>
      </c>
      <c r="B204" t="s">
        <v>328</v>
      </c>
      <c r="C204">
        <v>584</v>
      </c>
      <c r="D204" t="s">
        <v>332</v>
      </c>
      <c r="E204" t="s">
        <v>163</v>
      </c>
      <c r="F204">
        <v>15.509</v>
      </c>
      <c r="G204">
        <v>-0.77400000000000002</v>
      </c>
      <c r="H204">
        <v>46.375999999999998</v>
      </c>
      <c r="I204">
        <v>10.807</v>
      </c>
      <c r="J204">
        <v>6.0000000000000001E-3</v>
      </c>
      <c r="K204">
        <v>-0.86699999999999999</v>
      </c>
      <c r="L204" s="2">
        <f t="shared" si="2"/>
        <v>-0.86705399999999999</v>
      </c>
      <c r="M204">
        <v>6.0000000000000001E-3</v>
      </c>
      <c r="P204">
        <v>0.16500000000000001</v>
      </c>
      <c r="Q204">
        <v>5.0000000000000001E-3</v>
      </c>
      <c r="R204">
        <v>1E-3</v>
      </c>
      <c r="S204">
        <v>3.3000000000000002E-2</v>
      </c>
    </row>
    <row r="205" spans="1:20" x14ac:dyDescent="0.2">
      <c r="A205" t="s">
        <v>118</v>
      </c>
      <c r="B205" t="s">
        <v>323</v>
      </c>
      <c r="C205">
        <v>585</v>
      </c>
      <c r="D205" t="s">
        <v>333</v>
      </c>
      <c r="E205" t="s">
        <v>100</v>
      </c>
      <c r="F205">
        <v>-2.2120000000000002</v>
      </c>
      <c r="G205">
        <v>-1.7999999999999999E-2</v>
      </c>
      <c r="H205">
        <v>-0.43099999999999999</v>
      </c>
      <c r="I205">
        <v>-0.11799999999999999</v>
      </c>
      <c r="J205">
        <v>6.0000000000000001E-3</v>
      </c>
      <c r="K205">
        <v>-0.86699999999999999</v>
      </c>
      <c r="L205" s="2">
        <f t="shared" si="2"/>
        <v>-4.7279999999999978E-3</v>
      </c>
      <c r="M205">
        <v>0.84</v>
      </c>
      <c r="P205">
        <v>-0.62</v>
      </c>
      <c r="Q205">
        <v>5.0000000000000001E-3</v>
      </c>
      <c r="R205">
        <v>1E-3</v>
      </c>
      <c r="S205">
        <v>0.90800000000000003</v>
      </c>
    </row>
    <row r="206" spans="1:20" x14ac:dyDescent="0.2">
      <c r="A206" t="s">
        <v>106</v>
      </c>
      <c r="B206" t="s">
        <v>334</v>
      </c>
      <c r="C206">
        <v>587</v>
      </c>
      <c r="D206" t="s">
        <v>335</v>
      </c>
      <c r="E206" t="s">
        <v>12</v>
      </c>
      <c r="F206">
        <v>17.381</v>
      </c>
      <c r="G206">
        <v>-0.49199999999999999</v>
      </c>
      <c r="H206">
        <v>31.606000000000002</v>
      </c>
      <c r="I206">
        <v>7.7069999999999999</v>
      </c>
      <c r="J206">
        <v>6.0000000000000001E-3</v>
      </c>
      <c r="K206">
        <v>-0.86699999999999999</v>
      </c>
      <c r="L206" s="2">
        <f t="shared" si="2"/>
        <v>-0.59628599999999998</v>
      </c>
      <c r="M206">
        <v>0.26900000000000002</v>
      </c>
      <c r="N206">
        <v>0.35</v>
      </c>
      <c r="O206">
        <v>0.35199999999999998</v>
      </c>
      <c r="P206">
        <v>0.19800000000000001</v>
      </c>
      <c r="Q206">
        <v>5.0000000000000001E-3</v>
      </c>
      <c r="R206">
        <v>1E-3</v>
      </c>
      <c r="S206">
        <v>0.309</v>
      </c>
      <c r="T206">
        <v>0.39</v>
      </c>
    </row>
    <row r="207" spans="1:20" x14ac:dyDescent="0.2">
      <c r="A207" t="s">
        <v>118</v>
      </c>
      <c r="B207" t="s">
        <v>336</v>
      </c>
      <c r="C207">
        <v>592</v>
      </c>
      <c r="D207" t="s">
        <v>337</v>
      </c>
      <c r="E207" t="s">
        <v>87</v>
      </c>
      <c r="F207">
        <v>16.48</v>
      </c>
      <c r="G207">
        <v>8.5999999999999993E-2</v>
      </c>
      <c r="H207">
        <v>47.902000000000001</v>
      </c>
      <c r="I207">
        <v>10.725</v>
      </c>
      <c r="J207">
        <v>6.0000000000000001E-3</v>
      </c>
      <c r="K207">
        <v>-0.86799999999999999</v>
      </c>
      <c r="L207" s="2">
        <f t="shared" si="2"/>
        <v>-1.2880000000000016E-2</v>
      </c>
      <c r="M207">
        <v>0.83499999999999996</v>
      </c>
      <c r="P207">
        <v>-0.51700000000000002</v>
      </c>
      <c r="Q207">
        <v>5.0000000000000001E-3</v>
      </c>
      <c r="R207">
        <v>2E-3</v>
      </c>
      <c r="S207">
        <v>0.90200000000000002</v>
      </c>
    </row>
    <row r="208" spans="1:20" x14ac:dyDescent="0.2">
      <c r="A208" t="s">
        <v>118</v>
      </c>
      <c r="B208" t="s">
        <v>336</v>
      </c>
      <c r="C208">
        <v>593</v>
      </c>
      <c r="D208" t="s">
        <v>338</v>
      </c>
      <c r="E208" t="s">
        <v>339</v>
      </c>
      <c r="F208">
        <v>11.983000000000001</v>
      </c>
      <c r="G208">
        <v>0.20300000000000001</v>
      </c>
      <c r="H208">
        <v>35.134</v>
      </c>
      <c r="I208">
        <v>7.8760000000000003</v>
      </c>
      <c r="J208">
        <v>6.0000000000000001E-3</v>
      </c>
      <c r="K208">
        <v>-0.86799999999999999</v>
      </c>
      <c r="L208" s="2">
        <f t="shared" si="2"/>
        <v>0.131102</v>
      </c>
      <c r="M208">
        <v>0.97499999999999998</v>
      </c>
      <c r="P208">
        <v>-0.55400000000000005</v>
      </c>
      <c r="Q208">
        <v>5.0000000000000001E-3</v>
      </c>
      <c r="R208">
        <v>2E-3</v>
      </c>
      <c r="S208">
        <v>1.048</v>
      </c>
    </row>
    <row r="209" spans="1:20" x14ac:dyDescent="0.2">
      <c r="A209" t="s">
        <v>118</v>
      </c>
      <c r="B209" t="s">
        <v>336</v>
      </c>
      <c r="C209">
        <v>594</v>
      </c>
      <c r="D209" t="s">
        <v>338</v>
      </c>
      <c r="E209" t="s">
        <v>340</v>
      </c>
      <c r="F209">
        <v>1.042</v>
      </c>
      <c r="G209">
        <v>-0.106</v>
      </c>
      <c r="H209">
        <v>7.88</v>
      </c>
      <c r="I209">
        <v>1.8680000000000001</v>
      </c>
      <c r="J209">
        <v>6.0000000000000001E-3</v>
      </c>
      <c r="K209">
        <v>-0.86799999999999999</v>
      </c>
      <c r="L209" s="2">
        <f t="shared" si="2"/>
        <v>-0.11225199999999999</v>
      </c>
      <c r="M209">
        <v>0.73599999999999999</v>
      </c>
      <c r="P209">
        <v>-0.49399999999999999</v>
      </c>
      <c r="Q209">
        <v>5.0000000000000001E-3</v>
      </c>
      <c r="R209">
        <v>3.0000000000000001E-3</v>
      </c>
      <c r="S209">
        <v>0.79800000000000004</v>
      </c>
    </row>
    <row r="210" spans="1:20" x14ac:dyDescent="0.2">
      <c r="A210" t="s">
        <v>106</v>
      </c>
      <c r="B210" t="s">
        <v>336</v>
      </c>
      <c r="C210">
        <v>595</v>
      </c>
      <c r="D210" t="s">
        <v>341</v>
      </c>
      <c r="E210" t="s">
        <v>6</v>
      </c>
      <c r="F210">
        <v>2.9609999999999999</v>
      </c>
      <c r="G210">
        <v>-0.26500000000000001</v>
      </c>
      <c r="H210">
        <v>-2.0270000000000001</v>
      </c>
      <c r="I210">
        <v>-0.255</v>
      </c>
      <c r="J210">
        <v>6.0000000000000001E-3</v>
      </c>
      <c r="K210">
        <v>-0.86799999999999999</v>
      </c>
      <c r="L210" s="2">
        <f t="shared" si="2"/>
        <v>-0.28276600000000002</v>
      </c>
      <c r="M210">
        <v>0.56999999999999995</v>
      </c>
      <c r="N210">
        <v>0.65100000000000002</v>
      </c>
      <c r="O210">
        <v>0.65</v>
      </c>
      <c r="P210">
        <v>-0.40100000000000002</v>
      </c>
      <c r="Q210">
        <v>5.0000000000000001E-3</v>
      </c>
      <c r="R210">
        <v>3.0000000000000001E-3</v>
      </c>
      <c r="S210">
        <v>0.624</v>
      </c>
      <c r="T210">
        <v>0.70499999999999996</v>
      </c>
    </row>
    <row r="211" spans="1:20" x14ac:dyDescent="0.2">
      <c r="A211" t="s">
        <v>2</v>
      </c>
      <c r="B211" t="s">
        <v>342</v>
      </c>
      <c r="C211">
        <v>599</v>
      </c>
      <c r="D211" t="s">
        <v>343</v>
      </c>
      <c r="E211" t="s">
        <v>163</v>
      </c>
      <c r="F211">
        <v>15.478</v>
      </c>
      <c r="G211">
        <v>-0.77900000000000003</v>
      </c>
      <c r="H211">
        <v>47.368000000000002</v>
      </c>
      <c r="I211">
        <v>11.663</v>
      </c>
      <c r="J211">
        <v>6.0000000000000001E-3</v>
      </c>
      <c r="K211">
        <v>-0.86799999999999999</v>
      </c>
      <c r="L211" s="2">
        <f t="shared" si="2"/>
        <v>-0.87186800000000009</v>
      </c>
      <c r="M211">
        <v>-4.0000000000000001E-3</v>
      </c>
      <c r="P211">
        <v>0.30399999999999999</v>
      </c>
      <c r="Q211">
        <v>5.0000000000000001E-3</v>
      </c>
      <c r="R211">
        <v>3.0000000000000001E-3</v>
      </c>
      <c r="S211">
        <v>2.3E-2</v>
      </c>
    </row>
    <row r="212" spans="1:20" x14ac:dyDescent="0.2">
      <c r="A212" t="s">
        <v>632</v>
      </c>
      <c r="B212" t="s">
        <v>633</v>
      </c>
      <c r="C212">
        <v>611</v>
      </c>
      <c r="D212" t="s">
        <v>344</v>
      </c>
      <c r="E212" t="s">
        <v>12</v>
      </c>
      <c r="F212">
        <v>17.486999999999998</v>
      </c>
      <c r="G212">
        <v>-0.48099999999999998</v>
      </c>
      <c r="H212">
        <v>32.113</v>
      </c>
      <c r="I212">
        <v>8.0449999999999999</v>
      </c>
      <c r="J212">
        <v>6.0000000000000001E-3</v>
      </c>
      <c r="K212">
        <v>-0.87</v>
      </c>
      <c r="L212" s="2">
        <f t="shared" si="2"/>
        <v>-0.58592199999999994</v>
      </c>
      <c r="M212">
        <v>0.27</v>
      </c>
      <c r="N212">
        <v>0.35099999999999998</v>
      </c>
      <c r="O212">
        <v>0.35199999999999998</v>
      </c>
      <c r="P212">
        <v>-0.13</v>
      </c>
      <c r="Q212">
        <v>5.0000000000000001E-3</v>
      </c>
      <c r="R212">
        <v>5.0000000000000001E-3</v>
      </c>
      <c r="S212">
        <v>0.309</v>
      </c>
      <c r="T212">
        <v>0.39</v>
      </c>
    </row>
    <row r="213" spans="1:20" x14ac:dyDescent="0.2">
      <c r="A213" t="s">
        <v>581</v>
      </c>
      <c r="B213" t="s">
        <v>633</v>
      </c>
      <c r="C213">
        <v>612</v>
      </c>
      <c r="D213" t="s">
        <v>345</v>
      </c>
      <c r="E213" t="s">
        <v>346</v>
      </c>
      <c r="F213">
        <v>0.24199999999999999</v>
      </c>
      <c r="G213">
        <v>-0.86799999999999999</v>
      </c>
      <c r="H213">
        <v>7.1740000000000004</v>
      </c>
      <c r="I213">
        <v>2.2349999999999999</v>
      </c>
      <c r="J213">
        <v>6.0000000000000001E-3</v>
      </c>
      <c r="K213">
        <v>-0.87</v>
      </c>
      <c r="L213" s="2">
        <f t="shared" si="2"/>
        <v>-0.869452</v>
      </c>
      <c r="M213">
        <v>0</v>
      </c>
      <c r="P213">
        <v>-6.9000000000000006E-2</v>
      </c>
      <c r="Q213">
        <v>5.0000000000000001E-3</v>
      </c>
      <c r="R213">
        <v>6.0000000000000001E-3</v>
      </c>
      <c r="S213">
        <v>2.7E-2</v>
      </c>
    </row>
    <row r="214" spans="1:20" x14ac:dyDescent="0.2">
      <c r="A214" t="s">
        <v>106</v>
      </c>
      <c r="B214" t="s">
        <v>634</v>
      </c>
      <c r="C214">
        <v>617</v>
      </c>
      <c r="D214" t="s">
        <v>347</v>
      </c>
      <c r="E214" t="s">
        <v>6</v>
      </c>
      <c r="F214">
        <v>2.9390000000000001</v>
      </c>
      <c r="G214">
        <v>-0.28100000000000003</v>
      </c>
      <c r="H214">
        <v>-1.5820000000000001</v>
      </c>
      <c r="I214">
        <v>-9.2999999999999999E-2</v>
      </c>
      <c r="J214">
        <v>7.0000000000000001E-3</v>
      </c>
      <c r="K214">
        <v>-0.87</v>
      </c>
      <c r="L214" s="2">
        <f t="shared" si="2"/>
        <v>-0.30157300000000004</v>
      </c>
      <c r="M214">
        <v>0.55400000000000005</v>
      </c>
      <c r="N214">
        <v>0.63500000000000001</v>
      </c>
      <c r="O214">
        <v>0.65</v>
      </c>
      <c r="P214">
        <v>-0.32400000000000001</v>
      </c>
      <c r="Q214">
        <v>5.0000000000000001E-3</v>
      </c>
      <c r="R214">
        <v>7.0000000000000001E-3</v>
      </c>
      <c r="S214">
        <v>0.60399999999999998</v>
      </c>
      <c r="T214">
        <v>0.68500000000000005</v>
      </c>
    </row>
    <row r="216" spans="1:20" x14ac:dyDescent="0.2">
      <c r="A216" t="s">
        <v>348</v>
      </c>
    </row>
    <row r="217" spans="1:20" x14ac:dyDescent="0.2">
      <c r="A217" t="s">
        <v>581</v>
      </c>
      <c r="B217" t="s">
        <v>635</v>
      </c>
      <c r="C217">
        <v>646</v>
      </c>
      <c r="D217" t="s">
        <v>349</v>
      </c>
      <c r="E217" t="s">
        <v>163</v>
      </c>
      <c r="F217">
        <v>15.526999999999999</v>
      </c>
      <c r="G217">
        <v>-0.75700000000000001</v>
      </c>
      <c r="H217">
        <v>48.582000000000001</v>
      </c>
      <c r="I217">
        <v>12.653</v>
      </c>
      <c r="J217">
        <v>6.0000000000000001E-3</v>
      </c>
      <c r="K217">
        <v>-0.85</v>
      </c>
      <c r="L217" s="2">
        <f t="shared" si="2"/>
        <v>-0.85016199999999997</v>
      </c>
      <c r="M217">
        <v>2E-3</v>
      </c>
      <c r="N217">
        <v>8.3000000000000004E-2</v>
      </c>
      <c r="P217">
        <v>-0.32700000000000001</v>
      </c>
      <c r="Q217">
        <v>4.0000000000000001E-3</v>
      </c>
      <c r="R217">
        <v>1.0999999999999999E-2</v>
      </c>
      <c r="S217">
        <v>2.9000000000000001E-2</v>
      </c>
      <c r="T217">
        <v>0.11</v>
      </c>
    </row>
    <row r="218" spans="1:20" x14ac:dyDescent="0.2">
      <c r="A218" t="s">
        <v>106</v>
      </c>
      <c r="B218" t="s">
        <v>636</v>
      </c>
      <c r="C218">
        <v>648</v>
      </c>
      <c r="D218" t="s">
        <v>350</v>
      </c>
      <c r="E218" t="s">
        <v>6</v>
      </c>
      <c r="F218">
        <v>3.1030000000000002</v>
      </c>
      <c r="G218">
        <v>-0.26300000000000001</v>
      </c>
      <c r="H218">
        <v>-1.4590000000000001</v>
      </c>
      <c r="I218">
        <v>-2.5999999999999999E-2</v>
      </c>
      <c r="J218">
        <v>6.0000000000000001E-3</v>
      </c>
      <c r="K218">
        <v>-0.85</v>
      </c>
      <c r="L218" s="2">
        <f t="shared" si="2"/>
        <v>-0.28161800000000003</v>
      </c>
      <c r="M218">
        <v>0.56599999999999995</v>
      </c>
      <c r="N218">
        <v>0.64700000000000002</v>
      </c>
      <c r="O218">
        <v>0.65</v>
      </c>
      <c r="P218">
        <v>-0.36799999999999999</v>
      </c>
      <c r="Q218">
        <v>4.0000000000000001E-3</v>
      </c>
      <c r="R218">
        <v>0.01</v>
      </c>
      <c r="S218">
        <v>0.60399999999999998</v>
      </c>
      <c r="T218">
        <v>0.68500000000000005</v>
      </c>
    </row>
    <row r="219" spans="1:20" x14ac:dyDescent="0.2">
      <c r="A219" t="s">
        <v>582</v>
      </c>
      <c r="B219" t="s">
        <v>637</v>
      </c>
      <c r="C219">
        <v>649</v>
      </c>
      <c r="D219" t="s">
        <v>351</v>
      </c>
      <c r="E219" t="s">
        <v>352</v>
      </c>
      <c r="F219">
        <v>15.987</v>
      </c>
      <c r="G219">
        <v>8.5000000000000006E-2</v>
      </c>
      <c r="H219">
        <v>48.377000000000002</v>
      </c>
      <c r="I219">
        <v>12.173</v>
      </c>
      <c r="J219">
        <v>6.0000000000000001E-3</v>
      </c>
      <c r="K219">
        <v>-0.85</v>
      </c>
      <c r="L219" s="2">
        <f t="shared" si="2"/>
        <v>-1.0922000000000001E-2</v>
      </c>
      <c r="M219">
        <v>0.83499999999999996</v>
      </c>
      <c r="N219">
        <v>0.91600000000000004</v>
      </c>
      <c r="P219">
        <v>-0.87</v>
      </c>
      <c r="Q219">
        <v>4.0000000000000001E-3</v>
      </c>
      <c r="R219">
        <v>0.01</v>
      </c>
      <c r="S219">
        <v>0.879</v>
      </c>
      <c r="T219">
        <v>0.96</v>
      </c>
    </row>
    <row r="220" spans="1:20" x14ac:dyDescent="0.2">
      <c r="A220" t="s">
        <v>582</v>
      </c>
      <c r="B220" t="s">
        <v>636</v>
      </c>
      <c r="C220">
        <v>650</v>
      </c>
      <c r="D220" t="s">
        <v>353</v>
      </c>
      <c r="E220" t="s">
        <v>354</v>
      </c>
      <c r="F220">
        <v>-2.4780000000000002</v>
      </c>
      <c r="G220">
        <v>5.0000000000000001E-3</v>
      </c>
      <c r="H220">
        <v>-1.129</v>
      </c>
      <c r="I220">
        <v>-0.29799999999999999</v>
      </c>
      <c r="J220">
        <v>6.0000000000000001E-3</v>
      </c>
      <c r="K220">
        <v>-0.85</v>
      </c>
      <c r="L220" s="2">
        <f t="shared" si="2"/>
        <v>1.9868E-2</v>
      </c>
      <c r="M220">
        <v>0.86499999999999999</v>
      </c>
      <c r="N220">
        <v>0.94599999999999995</v>
      </c>
      <c r="P220">
        <v>-0.71699999999999997</v>
      </c>
      <c r="Q220">
        <v>4.0000000000000001E-3</v>
      </c>
      <c r="R220">
        <v>0.01</v>
      </c>
      <c r="S220">
        <v>0.90900000000000003</v>
      </c>
      <c r="T220">
        <v>0.99</v>
      </c>
    </row>
    <row r="221" spans="1:20" x14ac:dyDescent="0.2">
      <c r="A221" t="s">
        <v>581</v>
      </c>
      <c r="B221" t="s">
        <v>638</v>
      </c>
      <c r="C221">
        <v>655</v>
      </c>
      <c r="D221" t="s">
        <v>355</v>
      </c>
      <c r="E221" t="s">
        <v>66</v>
      </c>
      <c r="F221">
        <v>0.71299999999999997</v>
      </c>
      <c r="G221">
        <v>-0.85899999999999999</v>
      </c>
      <c r="H221">
        <v>7.9669999999999996</v>
      </c>
      <c r="I221">
        <v>2.5720000000000001</v>
      </c>
      <c r="J221">
        <v>6.0000000000000001E-3</v>
      </c>
      <c r="K221">
        <v>-0.85099999999999998</v>
      </c>
      <c r="L221" s="2">
        <f t="shared" si="2"/>
        <v>-0.86327799999999999</v>
      </c>
      <c r="M221">
        <v>-1.2E-2</v>
      </c>
      <c r="N221">
        <v>6.9000000000000006E-2</v>
      </c>
      <c r="P221">
        <v>-0.19400000000000001</v>
      </c>
      <c r="Q221">
        <v>5.0000000000000001E-3</v>
      </c>
      <c r="R221">
        <v>8.0000000000000002E-3</v>
      </c>
      <c r="S221">
        <v>1.4999999999999999E-2</v>
      </c>
      <c r="T221">
        <v>9.6000000000000002E-2</v>
      </c>
    </row>
    <row r="222" spans="1:20" x14ac:dyDescent="0.2">
      <c r="A222" t="s">
        <v>106</v>
      </c>
      <c r="B222" t="s">
        <v>638</v>
      </c>
      <c r="C222">
        <v>656</v>
      </c>
      <c r="D222" t="s">
        <v>356</v>
      </c>
      <c r="E222" t="s">
        <v>12</v>
      </c>
      <c r="F222">
        <v>17.494</v>
      </c>
      <c r="G222">
        <v>-0.46200000000000002</v>
      </c>
      <c r="H222">
        <v>33.209000000000003</v>
      </c>
      <c r="I222">
        <v>9.1219999999999999</v>
      </c>
      <c r="J222">
        <v>6.0000000000000001E-3</v>
      </c>
      <c r="K222">
        <v>-0.85099999999999998</v>
      </c>
      <c r="L222" s="2">
        <f t="shared" si="2"/>
        <v>-0.56696400000000002</v>
      </c>
      <c r="M222">
        <v>0.27900000000000003</v>
      </c>
      <c r="N222">
        <v>0.36</v>
      </c>
      <c r="O222">
        <v>0.35199999999999998</v>
      </c>
      <c r="P222">
        <v>-0.22900000000000001</v>
      </c>
      <c r="Q222">
        <v>5.0000000000000001E-3</v>
      </c>
      <c r="R222">
        <v>8.0000000000000002E-3</v>
      </c>
      <c r="S222">
        <v>0.312</v>
      </c>
      <c r="T222">
        <v>0.39300000000000002</v>
      </c>
    </row>
    <row r="223" spans="1:20" x14ac:dyDescent="0.2">
      <c r="A223" t="s">
        <v>581</v>
      </c>
      <c r="B223" t="s">
        <v>639</v>
      </c>
      <c r="C223">
        <v>667</v>
      </c>
      <c r="D223" t="s">
        <v>357</v>
      </c>
      <c r="E223" t="s">
        <v>212</v>
      </c>
      <c r="F223">
        <v>14.208</v>
      </c>
      <c r="G223">
        <v>-0.77500000000000002</v>
      </c>
      <c r="H223">
        <v>47.055</v>
      </c>
      <c r="I223">
        <v>13.324</v>
      </c>
      <c r="J223">
        <v>7.0000000000000001E-3</v>
      </c>
      <c r="K223">
        <v>-0.85199999999999998</v>
      </c>
      <c r="L223" s="2">
        <f t="shared" si="2"/>
        <v>-0.87445600000000001</v>
      </c>
      <c r="M223">
        <v>-1.4999999999999999E-2</v>
      </c>
      <c r="N223">
        <v>6.6000000000000003E-2</v>
      </c>
      <c r="P223">
        <v>-2.7E-2</v>
      </c>
      <c r="Q223">
        <v>5.0000000000000001E-3</v>
      </c>
      <c r="R223">
        <v>5.0000000000000001E-3</v>
      </c>
      <c r="S223">
        <v>1.0999999999999999E-2</v>
      </c>
      <c r="T223">
        <v>9.1999999999999998E-2</v>
      </c>
    </row>
    <row r="224" spans="1:20" x14ac:dyDescent="0.2">
      <c r="A224" t="s">
        <v>106</v>
      </c>
      <c r="B224" t="s">
        <v>639</v>
      </c>
      <c r="C224">
        <v>670</v>
      </c>
      <c r="D224" t="s">
        <v>358</v>
      </c>
      <c r="E224" t="s">
        <v>6</v>
      </c>
      <c r="F224">
        <v>2.9350000000000001</v>
      </c>
      <c r="G224">
        <v>-0.26200000000000001</v>
      </c>
      <c r="H224">
        <v>-1.984</v>
      </c>
      <c r="I224">
        <v>-0.32600000000000001</v>
      </c>
      <c r="J224">
        <v>7.0000000000000001E-3</v>
      </c>
      <c r="K224">
        <v>-0.85299999999999998</v>
      </c>
      <c r="L224" s="2">
        <f t="shared" si="2"/>
        <v>-0.28254499999999999</v>
      </c>
      <c r="M224">
        <v>0.56599999999999995</v>
      </c>
      <c r="N224">
        <v>0.64700000000000002</v>
      </c>
      <c r="O224">
        <v>0.65</v>
      </c>
      <c r="P224">
        <v>-0.44800000000000001</v>
      </c>
      <c r="Q224">
        <v>5.0000000000000001E-3</v>
      </c>
      <c r="R224">
        <v>4.0000000000000001E-3</v>
      </c>
      <c r="S224">
        <v>0.60799999999999998</v>
      </c>
      <c r="T224">
        <v>0.68899999999999995</v>
      </c>
    </row>
    <row r="225" spans="1:20" x14ac:dyDescent="0.2">
      <c r="A225" t="s">
        <v>582</v>
      </c>
      <c r="B225" t="s">
        <v>639</v>
      </c>
      <c r="C225">
        <v>671</v>
      </c>
      <c r="D225" t="s">
        <v>359</v>
      </c>
      <c r="E225" t="s">
        <v>360</v>
      </c>
      <c r="F225">
        <v>15.657</v>
      </c>
      <c r="G225">
        <v>8.4000000000000005E-2</v>
      </c>
      <c r="H225">
        <v>49.061999999999998</v>
      </c>
      <c r="I225">
        <v>13.49</v>
      </c>
      <c r="J225">
        <v>7.0000000000000001E-3</v>
      </c>
      <c r="K225">
        <v>-0.85299999999999998</v>
      </c>
      <c r="L225" s="2">
        <f t="shared" si="2"/>
        <v>-2.5598999999999997E-2</v>
      </c>
      <c r="M225">
        <v>0.82499999999999996</v>
      </c>
      <c r="N225">
        <v>0.90600000000000003</v>
      </c>
      <c r="P225">
        <v>-0.54600000000000004</v>
      </c>
      <c r="Q225">
        <v>5.0000000000000001E-3</v>
      </c>
      <c r="R225">
        <v>4.0000000000000001E-3</v>
      </c>
      <c r="S225">
        <v>0.874</v>
      </c>
      <c r="T225">
        <v>0.95499999999999996</v>
      </c>
    </row>
    <row r="226" spans="1:20" x14ac:dyDescent="0.2">
      <c r="A226" t="s">
        <v>106</v>
      </c>
      <c r="B226" t="s">
        <v>640</v>
      </c>
      <c r="C226">
        <v>678</v>
      </c>
      <c r="D226" t="s">
        <v>361</v>
      </c>
      <c r="E226" t="s">
        <v>6</v>
      </c>
      <c r="F226">
        <v>3.0179999999999998</v>
      </c>
      <c r="G226">
        <v>-0.26400000000000001</v>
      </c>
      <c r="H226">
        <v>-1.83</v>
      </c>
      <c r="I226">
        <v>-0.34100000000000003</v>
      </c>
      <c r="J226">
        <v>7.0000000000000001E-3</v>
      </c>
      <c r="K226">
        <v>-0.85399999999999998</v>
      </c>
      <c r="L226" s="2">
        <f t="shared" si="2"/>
        <v>-0.28512599999999999</v>
      </c>
      <c r="M226">
        <v>0.56299999999999994</v>
      </c>
      <c r="N226">
        <v>0.64400000000000002</v>
      </c>
      <c r="O226">
        <v>0.65</v>
      </c>
      <c r="P226">
        <v>-0.47799999999999998</v>
      </c>
      <c r="Q226">
        <v>6.0000000000000001E-3</v>
      </c>
      <c r="R226">
        <v>2E-3</v>
      </c>
      <c r="S226">
        <v>0.60699999999999998</v>
      </c>
      <c r="T226">
        <v>0.68799999999999994</v>
      </c>
    </row>
    <row r="227" spans="1:20" x14ac:dyDescent="0.2">
      <c r="A227" t="s">
        <v>581</v>
      </c>
      <c r="B227" t="s">
        <v>641</v>
      </c>
      <c r="C227">
        <v>681</v>
      </c>
      <c r="D227" t="s">
        <v>362</v>
      </c>
      <c r="E227" t="s">
        <v>66</v>
      </c>
      <c r="F227">
        <v>0.42199999999999999</v>
      </c>
      <c r="G227">
        <v>-0.86099999999999999</v>
      </c>
      <c r="H227">
        <v>8.2759999999999998</v>
      </c>
      <c r="I227">
        <v>3.0190000000000001</v>
      </c>
      <c r="J227">
        <v>7.0000000000000001E-3</v>
      </c>
      <c r="K227">
        <v>-0.85399999999999998</v>
      </c>
      <c r="L227" s="2">
        <f t="shared" si="2"/>
        <v>-0.863954</v>
      </c>
      <c r="M227">
        <v>-0.01</v>
      </c>
      <c r="N227">
        <v>7.0999999999999994E-2</v>
      </c>
      <c r="P227">
        <v>0.06</v>
      </c>
      <c r="Q227">
        <v>6.0000000000000001E-3</v>
      </c>
      <c r="R227">
        <v>1E-3</v>
      </c>
      <c r="S227">
        <v>1.7000000000000001E-2</v>
      </c>
      <c r="T227">
        <v>9.8000000000000004E-2</v>
      </c>
    </row>
    <row r="228" spans="1:20" x14ac:dyDescent="0.2">
      <c r="A228" t="s">
        <v>106</v>
      </c>
      <c r="B228" t="s">
        <v>641</v>
      </c>
      <c r="C228">
        <v>684</v>
      </c>
      <c r="D228" t="s">
        <v>363</v>
      </c>
      <c r="E228" t="s">
        <v>12</v>
      </c>
      <c r="F228">
        <v>17.526</v>
      </c>
      <c r="G228">
        <v>-0.45700000000000002</v>
      </c>
      <c r="H228">
        <v>34.713000000000001</v>
      </c>
      <c r="I228">
        <v>10.521000000000001</v>
      </c>
      <c r="J228">
        <v>7.0000000000000001E-3</v>
      </c>
      <c r="K228">
        <v>-0.85399999999999998</v>
      </c>
      <c r="L228" s="2">
        <f t="shared" si="2"/>
        <v>-0.57968200000000003</v>
      </c>
      <c r="M228">
        <v>0.27</v>
      </c>
      <c r="N228">
        <v>0.35099999999999998</v>
      </c>
      <c r="O228">
        <v>0.35199999999999998</v>
      </c>
      <c r="P228">
        <v>8.3000000000000004E-2</v>
      </c>
      <c r="Q228">
        <v>6.0000000000000001E-3</v>
      </c>
      <c r="R228">
        <v>1E-3</v>
      </c>
      <c r="S228">
        <v>0.30599999999999999</v>
      </c>
      <c r="T228">
        <v>0.38700000000000001</v>
      </c>
    </row>
    <row r="229" spans="1:20" x14ac:dyDescent="0.2">
      <c r="A229" t="s">
        <v>582</v>
      </c>
      <c r="B229" t="s">
        <v>642</v>
      </c>
      <c r="C229">
        <v>688</v>
      </c>
      <c r="D229" t="s">
        <v>364</v>
      </c>
      <c r="E229" t="s">
        <v>354</v>
      </c>
      <c r="F229">
        <v>-3.1230000000000002</v>
      </c>
      <c r="G229">
        <v>-1.6E-2</v>
      </c>
      <c r="H229">
        <v>-3.02</v>
      </c>
      <c r="I229">
        <v>-0.91800000000000004</v>
      </c>
      <c r="J229">
        <v>7.0000000000000001E-3</v>
      </c>
      <c r="K229">
        <v>-0.85499999999999998</v>
      </c>
      <c r="L229" s="2">
        <f t="shared" si="2"/>
        <v>5.8610000000000016E-3</v>
      </c>
      <c r="M229">
        <v>0.85199999999999998</v>
      </c>
      <c r="N229">
        <v>0.93300000000000005</v>
      </c>
      <c r="P229">
        <v>-0.68400000000000005</v>
      </c>
      <c r="Q229">
        <v>6.0000000000000001E-3</v>
      </c>
      <c r="R229">
        <v>0</v>
      </c>
      <c r="S229">
        <v>0.90600000000000003</v>
      </c>
      <c r="T229">
        <v>0.98699999999999999</v>
      </c>
    </row>
    <row r="230" spans="1:20" x14ac:dyDescent="0.2">
      <c r="A230" t="s">
        <v>106</v>
      </c>
      <c r="B230" t="s">
        <v>642</v>
      </c>
      <c r="C230">
        <v>689</v>
      </c>
      <c r="D230" t="s">
        <v>365</v>
      </c>
      <c r="E230" t="s">
        <v>6</v>
      </c>
      <c r="F230">
        <v>3.1019999999999999</v>
      </c>
      <c r="G230">
        <v>-0.26600000000000001</v>
      </c>
      <c r="H230">
        <v>-1.954</v>
      </c>
      <c r="I230">
        <v>-0.374</v>
      </c>
      <c r="J230">
        <v>7.0000000000000001E-3</v>
      </c>
      <c r="K230">
        <v>-0.85499999999999998</v>
      </c>
      <c r="L230" s="2">
        <f t="shared" si="2"/>
        <v>-0.28771400000000003</v>
      </c>
      <c r="M230">
        <v>0.56000000000000005</v>
      </c>
      <c r="N230">
        <v>0.64100000000000001</v>
      </c>
      <c r="O230">
        <v>0.65</v>
      </c>
      <c r="P230">
        <v>-0.441</v>
      </c>
      <c r="Q230">
        <v>6.0000000000000001E-3</v>
      </c>
      <c r="R230">
        <v>-1E-3</v>
      </c>
      <c r="S230">
        <v>0.60499999999999998</v>
      </c>
      <c r="T230">
        <v>0.68600000000000005</v>
      </c>
    </row>
    <row r="231" spans="1:20" x14ac:dyDescent="0.2">
      <c r="A231" t="s">
        <v>106</v>
      </c>
      <c r="B231" t="s">
        <v>643</v>
      </c>
      <c r="C231">
        <v>693</v>
      </c>
      <c r="D231" t="s">
        <v>366</v>
      </c>
      <c r="E231" t="s">
        <v>12</v>
      </c>
      <c r="F231">
        <v>17.605</v>
      </c>
      <c r="G231">
        <v>-0.432</v>
      </c>
      <c r="H231">
        <v>35.284999999999997</v>
      </c>
      <c r="I231">
        <v>10.965999999999999</v>
      </c>
      <c r="J231">
        <v>7.0000000000000001E-3</v>
      </c>
      <c r="K231">
        <v>-0.85499999999999998</v>
      </c>
      <c r="L231" s="2">
        <f t="shared" si="2"/>
        <v>-0.55523500000000003</v>
      </c>
      <c r="M231">
        <v>0.28999999999999998</v>
      </c>
      <c r="N231">
        <v>0.371</v>
      </c>
      <c r="O231">
        <v>0.35199999999999998</v>
      </c>
      <c r="P231">
        <v>0.153</v>
      </c>
      <c r="Q231">
        <v>6.0000000000000001E-3</v>
      </c>
      <c r="R231">
        <v>-1E-3</v>
      </c>
      <c r="S231">
        <v>0.32700000000000001</v>
      </c>
      <c r="T231">
        <v>0.40799999999999997</v>
      </c>
    </row>
    <row r="232" spans="1:20" x14ac:dyDescent="0.2">
      <c r="A232" t="s">
        <v>581</v>
      </c>
      <c r="B232" t="s">
        <v>643</v>
      </c>
      <c r="C232">
        <v>694</v>
      </c>
      <c r="D232" t="s">
        <v>367</v>
      </c>
      <c r="E232" t="s">
        <v>163</v>
      </c>
      <c r="F232">
        <v>15.433999999999999</v>
      </c>
      <c r="G232">
        <v>-0.749</v>
      </c>
      <c r="H232">
        <v>52.146000000000001</v>
      </c>
      <c r="I232">
        <v>16.09</v>
      </c>
      <c r="J232">
        <v>7.0000000000000001E-3</v>
      </c>
      <c r="K232">
        <v>-0.85499999999999998</v>
      </c>
      <c r="L232" s="2">
        <f t="shared" si="2"/>
        <v>-0.85703799999999997</v>
      </c>
      <c r="M232">
        <v>-7.0000000000000001E-3</v>
      </c>
      <c r="N232">
        <v>7.3999999999999996E-2</v>
      </c>
      <c r="P232">
        <v>0.372</v>
      </c>
      <c r="Q232">
        <v>6.0000000000000001E-3</v>
      </c>
      <c r="R232">
        <v>-2E-3</v>
      </c>
      <c r="S232">
        <v>1.9E-2</v>
      </c>
      <c r="T232">
        <v>0.1</v>
      </c>
    </row>
    <row r="233" spans="1:20" x14ac:dyDescent="0.2">
      <c r="A233" t="s">
        <v>106</v>
      </c>
      <c r="B233" t="s">
        <v>644</v>
      </c>
      <c r="C233">
        <v>699</v>
      </c>
      <c r="D233" t="s">
        <v>368</v>
      </c>
      <c r="E233" t="s">
        <v>6</v>
      </c>
      <c r="F233">
        <v>2.8730000000000002</v>
      </c>
      <c r="G233">
        <v>-0.23899999999999999</v>
      </c>
      <c r="H233">
        <v>-2.3620000000000001</v>
      </c>
      <c r="I233">
        <v>-0.57799999999999996</v>
      </c>
      <c r="J233">
        <v>8.0000000000000002E-3</v>
      </c>
      <c r="K233">
        <v>-0.85599999999999998</v>
      </c>
      <c r="L233" s="2">
        <f t="shared" si="2"/>
        <v>-0.26198399999999999</v>
      </c>
      <c r="M233">
        <v>0.58799999999999997</v>
      </c>
      <c r="N233">
        <v>0.66900000000000004</v>
      </c>
      <c r="O233">
        <v>0.65</v>
      </c>
      <c r="P233">
        <v>-0.497</v>
      </c>
      <c r="Q233">
        <v>6.0000000000000001E-3</v>
      </c>
      <c r="R233">
        <v>-3.0000000000000001E-3</v>
      </c>
      <c r="S233">
        <v>0.63500000000000001</v>
      </c>
      <c r="T233">
        <v>0.71599999999999997</v>
      </c>
    </row>
    <row r="234" spans="1:20" x14ac:dyDescent="0.2">
      <c r="A234" t="s">
        <v>582</v>
      </c>
      <c r="B234" t="s">
        <v>644</v>
      </c>
      <c r="C234">
        <v>700</v>
      </c>
      <c r="D234" t="s">
        <v>369</v>
      </c>
      <c r="E234" t="s">
        <v>360</v>
      </c>
      <c r="F234">
        <v>15.7</v>
      </c>
      <c r="G234">
        <v>0.10199999999999999</v>
      </c>
      <c r="H234">
        <v>50.679000000000002</v>
      </c>
      <c r="I234">
        <v>14.981</v>
      </c>
      <c r="J234">
        <v>8.0000000000000002E-3</v>
      </c>
      <c r="K234">
        <v>-0.85599999999999998</v>
      </c>
      <c r="L234" s="2">
        <f t="shared" si="2"/>
        <v>-2.3599999999999996E-2</v>
      </c>
      <c r="M234">
        <v>0.82899999999999996</v>
      </c>
      <c r="N234">
        <v>0.91</v>
      </c>
      <c r="P234">
        <v>-0.51400000000000001</v>
      </c>
      <c r="Q234">
        <v>6.0000000000000001E-3</v>
      </c>
      <c r="R234">
        <v>-3.0000000000000001E-3</v>
      </c>
      <c r="S234">
        <v>0.88500000000000001</v>
      </c>
      <c r="T234">
        <v>0.96599999999999997</v>
      </c>
    </row>
    <row r="235" spans="1:20" x14ac:dyDescent="0.2">
      <c r="A235" t="s">
        <v>106</v>
      </c>
      <c r="B235" t="s">
        <v>645</v>
      </c>
      <c r="C235">
        <v>711</v>
      </c>
      <c r="D235" t="s">
        <v>370</v>
      </c>
      <c r="E235" t="s">
        <v>12</v>
      </c>
      <c r="F235">
        <v>17.582999999999998</v>
      </c>
      <c r="G235">
        <v>-0.44600000000000001</v>
      </c>
      <c r="H235">
        <v>35.640999999999998</v>
      </c>
      <c r="I235">
        <v>11.334</v>
      </c>
      <c r="J235">
        <v>8.0000000000000002E-3</v>
      </c>
      <c r="K235">
        <v>-0.85699999999999998</v>
      </c>
      <c r="L235" s="2">
        <f t="shared" si="2"/>
        <v>-0.58666399999999996</v>
      </c>
      <c r="M235">
        <v>0.26900000000000002</v>
      </c>
      <c r="N235">
        <v>0.35</v>
      </c>
      <c r="O235">
        <v>0.35199999999999998</v>
      </c>
      <c r="P235">
        <v>8.9999999999999993E-3</v>
      </c>
      <c r="Q235">
        <v>7.0000000000000001E-3</v>
      </c>
      <c r="R235">
        <v>-5.0000000000000001E-3</v>
      </c>
      <c r="S235">
        <v>0.30599999999999999</v>
      </c>
      <c r="T235">
        <v>0.38700000000000001</v>
      </c>
    </row>
    <row r="236" spans="1:20" x14ac:dyDescent="0.2">
      <c r="A236" t="s">
        <v>106</v>
      </c>
      <c r="B236" t="s">
        <v>646</v>
      </c>
      <c r="C236">
        <v>712</v>
      </c>
      <c r="D236" t="s">
        <v>371</v>
      </c>
      <c r="E236" t="s">
        <v>12</v>
      </c>
      <c r="F236">
        <v>17.530999999999999</v>
      </c>
      <c r="G236">
        <v>-0.441</v>
      </c>
      <c r="H236">
        <v>34.155000000000001</v>
      </c>
      <c r="I236">
        <v>9.907</v>
      </c>
      <c r="J236">
        <v>8.0000000000000002E-3</v>
      </c>
      <c r="K236">
        <v>-0.85699999999999998</v>
      </c>
      <c r="L236" s="2">
        <f t="shared" si="2"/>
        <v>-0.58124799999999999</v>
      </c>
      <c r="M236">
        <v>0.27400000000000002</v>
      </c>
      <c r="N236">
        <v>0.35499999999999998</v>
      </c>
      <c r="O236">
        <v>0.35199999999999998</v>
      </c>
      <c r="P236">
        <v>-0.99199999999999999</v>
      </c>
      <c r="Q236">
        <v>7.0000000000000001E-3</v>
      </c>
      <c r="R236">
        <v>-5.0000000000000001E-3</v>
      </c>
      <c r="S236">
        <v>0.311</v>
      </c>
      <c r="T236">
        <v>0.39200000000000002</v>
      </c>
    </row>
    <row r="237" spans="1:20" s="1" customFormat="1" x14ac:dyDescent="0.2">
      <c r="A237" s="1" t="s">
        <v>102</v>
      </c>
      <c r="B237" s="1" t="s">
        <v>646</v>
      </c>
      <c r="C237" s="1">
        <v>713</v>
      </c>
      <c r="D237" s="1" t="s">
        <v>372</v>
      </c>
      <c r="E237" s="1" t="s">
        <v>373</v>
      </c>
      <c r="F237" s="1">
        <v>0.81599999999999995</v>
      </c>
      <c r="G237" s="1">
        <v>-0.25900000000000001</v>
      </c>
      <c r="H237" s="1">
        <v>12.618</v>
      </c>
      <c r="I237" s="1">
        <v>3.7949999999999999</v>
      </c>
      <c r="J237" s="1">
        <v>8.0000000000000002E-3</v>
      </c>
      <c r="K237" s="1">
        <v>-0.85699999999999998</v>
      </c>
      <c r="L237" s="3">
        <f t="shared" si="2"/>
        <v>-0.26552799999999999</v>
      </c>
      <c r="M237" s="1">
        <v>0.58399999999999996</v>
      </c>
      <c r="N237" s="1">
        <v>0.66500000000000004</v>
      </c>
      <c r="P237" s="1">
        <v>-0.61399999999999999</v>
      </c>
      <c r="Q237" s="1">
        <v>7.0000000000000001E-3</v>
      </c>
      <c r="R237" s="1">
        <v>-6.0000000000000001E-3</v>
      </c>
      <c r="S237" s="1">
        <v>0.63300000000000001</v>
      </c>
      <c r="T237" s="1">
        <v>0.71399999999999997</v>
      </c>
    </row>
    <row r="238" spans="1:20" s="1" customFormat="1" x14ac:dyDescent="0.2">
      <c r="A238" s="1" t="s">
        <v>102</v>
      </c>
      <c r="B238" s="1" t="s">
        <v>647</v>
      </c>
      <c r="C238" s="1">
        <v>714</v>
      </c>
      <c r="D238" s="1" t="s">
        <v>374</v>
      </c>
      <c r="E238" s="1" t="s">
        <v>375</v>
      </c>
      <c r="F238" s="1">
        <v>-1.8740000000000001</v>
      </c>
      <c r="G238" s="1">
        <v>-0.30099999999999999</v>
      </c>
      <c r="H238" s="1">
        <v>10.5</v>
      </c>
      <c r="I238" s="1">
        <v>3.3079999999999998</v>
      </c>
      <c r="J238" s="1">
        <v>8.0000000000000002E-3</v>
      </c>
      <c r="K238" s="1">
        <v>-0.85799999999999998</v>
      </c>
      <c r="L238" s="3">
        <f t="shared" si="2"/>
        <v>-0.28600799999999998</v>
      </c>
      <c r="M238" s="1">
        <v>0.56299999999999994</v>
      </c>
      <c r="N238" s="1">
        <v>0.64400000000000002</v>
      </c>
      <c r="P238" s="1">
        <v>-0.46600000000000003</v>
      </c>
      <c r="Q238" s="1">
        <v>7.0000000000000001E-3</v>
      </c>
      <c r="R238" s="1">
        <v>-6.0000000000000001E-3</v>
      </c>
      <c r="S238" s="1">
        <v>0.61199999999999999</v>
      </c>
      <c r="T238" s="1">
        <v>0.69299999999999995</v>
      </c>
    </row>
    <row r="239" spans="1:20" s="1" customFormat="1" x14ac:dyDescent="0.2">
      <c r="A239" s="1" t="s">
        <v>102</v>
      </c>
      <c r="B239" s="1" t="s">
        <v>647</v>
      </c>
      <c r="C239" s="1">
        <v>715</v>
      </c>
      <c r="D239" s="1" t="s">
        <v>376</v>
      </c>
      <c r="E239" s="1" t="s">
        <v>377</v>
      </c>
      <c r="F239" s="1">
        <v>-0.2</v>
      </c>
      <c r="G239" s="1">
        <v>-0.27500000000000002</v>
      </c>
      <c r="H239" s="1">
        <v>12.842000000000001</v>
      </c>
      <c r="I239" s="1">
        <v>4.0460000000000003</v>
      </c>
      <c r="J239" s="1">
        <v>8.0000000000000002E-3</v>
      </c>
      <c r="K239" s="1">
        <v>-0.85799999999999998</v>
      </c>
      <c r="L239" s="3">
        <f t="shared" si="2"/>
        <v>-0.27340000000000003</v>
      </c>
      <c r="M239" s="1">
        <v>0.57599999999999996</v>
      </c>
      <c r="N239" s="1">
        <v>0.65700000000000003</v>
      </c>
      <c r="P239" s="1">
        <v>-0.44500000000000001</v>
      </c>
      <c r="Q239" s="1">
        <v>7.0000000000000001E-3</v>
      </c>
      <c r="R239" s="1">
        <v>-6.0000000000000001E-3</v>
      </c>
      <c r="S239" s="1">
        <v>0.625</v>
      </c>
      <c r="T239" s="1">
        <v>0.70599999999999996</v>
      </c>
    </row>
    <row r="240" spans="1:20" x14ac:dyDescent="0.2">
      <c r="A240" t="s">
        <v>581</v>
      </c>
      <c r="B240" t="s">
        <v>647</v>
      </c>
      <c r="C240">
        <v>716</v>
      </c>
      <c r="D240" t="s">
        <v>378</v>
      </c>
      <c r="E240" t="s">
        <v>379</v>
      </c>
      <c r="F240">
        <v>-0.91700000000000004</v>
      </c>
      <c r="G240">
        <v>-0.83799999999999997</v>
      </c>
      <c r="H240">
        <v>5.3209999999999997</v>
      </c>
      <c r="I240">
        <v>2.31</v>
      </c>
      <c r="J240">
        <v>8.0000000000000002E-3</v>
      </c>
      <c r="K240">
        <v>-0.85799999999999998</v>
      </c>
      <c r="L240" s="2">
        <f t="shared" si="2"/>
        <v>-0.83066399999999996</v>
      </c>
      <c r="M240">
        <v>2.7E-2</v>
      </c>
      <c r="N240">
        <v>0.108</v>
      </c>
      <c r="P240">
        <v>0.1</v>
      </c>
      <c r="Q240">
        <v>7.0000000000000001E-3</v>
      </c>
      <c r="R240">
        <v>-6.0000000000000001E-3</v>
      </c>
      <c r="S240">
        <v>5.5E-2</v>
      </c>
      <c r="T240">
        <v>0.13600000000000001</v>
      </c>
    </row>
    <row r="241" spans="1:20" s="1" customFormat="1" x14ac:dyDescent="0.2">
      <c r="A241" s="1" t="s">
        <v>102</v>
      </c>
      <c r="B241" s="1" t="s">
        <v>647</v>
      </c>
      <c r="C241" s="1">
        <v>717</v>
      </c>
      <c r="D241" s="1" t="s">
        <v>380</v>
      </c>
      <c r="E241" s="1" t="s">
        <v>381</v>
      </c>
      <c r="F241" s="1">
        <v>-2.133</v>
      </c>
      <c r="G241" s="1">
        <v>-0.30099999999999999</v>
      </c>
      <c r="H241" s="1">
        <v>10.573</v>
      </c>
      <c r="I241" s="1">
        <v>3.3919999999999999</v>
      </c>
      <c r="J241" s="1">
        <v>8.0000000000000002E-3</v>
      </c>
      <c r="K241" s="1">
        <v>-0.85799999999999998</v>
      </c>
      <c r="L241" s="3">
        <f t="shared" si="2"/>
        <v>-0.28393599999999997</v>
      </c>
      <c r="M241" s="1">
        <v>0.56599999999999995</v>
      </c>
      <c r="N241" s="1">
        <v>0.64700000000000002</v>
      </c>
      <c r="P241" s="1">
        <v>-0.42099999999999999</v>
      </c>
      <c r="Q241" s="1">
        <v>7.0000000000000001E-3</v>
      </c>
      <c r="R241" s="1">
        <v>-6.0000000000000001E-3</v>
      </c>
      <c r="S241" s="1">
        <v>0.61499999999999999</v>
      </c>
      <c r="T241" s="1">
        <v>0.69599999999999995</v>
      </c>
    </row>
    <row r="242" spans="1:20" s="1" customFormat="1" x14ac:dyDescent="0.2">
      <c r="A242" s="1" t="s">
        <v>102</v>
      </c>
      <c r="B242" s="1" t="s">
        <v>647</v>
      </c>
      <c r="C242" s="1">
        <v>718</v>
      </c>
      <c r="D242" s="1" t="s">
        <v>382</v>
      </c>
      <c r="E242" s="1" t="s">
        <v>383</v>
      </c>
      <c r="F242" s="1">
        <v>-3.02</v>
      </c>
      <c r="G242" s="1">
        <v>-0.308</v>
      </c>
      <c r="H242" s="1">
        <v>9.6440000000000001</v>
      </c>
      <c r="I242" s="1">
        <v>3.2</v>
      </c>
      <c r="J242" s="1">
        <v>8.0000000000000002E-3</v>
      </c>
      <c r="K242" s="1">
        <v>-0.85799999999999998</v>
      </c>
      <c r="L242" s="3">
        <f t="shared" si="2"/>
        <v>-0.28383999999999998</v>
      </c>
      <c r="M242" s="1">
        <v>0.56599999999999995</v>
      </c>
      <c r="N242" s="1">
        <v>0.64700000000000002</v>
      </c>
      <c r="P242" s="1">
        <v>-0.33500000000000002</v>
      </c>
      <c r="Q242" s="1">
        <v>7.0000000000000001E-3</v>
      </c>
      <c r="R242" s="1">
        <v>-7.0000000000000001E-3</v>
      </c>
      <c r="S242" s="1">
        <v>0.61499999999999999</v>
      </c>
      <c r="T242" s="1">
        <v>0.69599999999999995</v>
      </c>
    </row>
    <row r="243" spans="1:20" x14ac:dyDescent="0.2">
      <c r="A243" t="s">
        <v>106</v>
      </c>
      <c r="B243" t="s">
        <v>648</v>
      </c>
      <c r="C243">
        <v>719</v>
      </c>
      <c r="D243" t="s">
        <v>384</v>
      </c>
      <c r="E243" t="s">
        <v>6</v>
      </c>
      <c r="F243">
        <v>2.8159999999999998</v>
      </c>
      <c r="G243">
        <v>-0.255</v>
      </c>
      <c r="H243">
        <v>-2.16</v>
      </c>
      <c r="I243">
        <v>-0.42</v>
      </c>
      <c r="J243">
        <v>8.0000000000000002E-3</v>
      </c>
      <c r="K243">
        <v>-0.85799999999999998</v>
      </c>
      <c r="L243" s="2">
        <f t="shared" si="2"/>
        <v>-0.277528</v>
      </c>
      <c r="M243">
        <v>0.57199999999999995</v>
      </c>
      <c r="N243">
        <v>0.65300000000000002</v>
      </c>
      <c r="O243">
        <v>0.65</v>
      </c>
      <c r="P243">
        <v>-0.34699999999999998</v>
      </c>
      <c r="Q243">
        <v>7.0000000000000001E-3</v>
      </c>
      <c r="R243">
        <v>-7.0000000000000001E-3</v>
      </c>
      <c r="S243">
        <v>0.621</v>
      </c>
      <c r="T243">
        <v>0.70199999999999996</v>
      </c>
    </row>
    <row r="244" spans="1:20" s="1" customFormat="1" x14ac:dyDescent="0.2">
      <c r="A244" s="1" t="s">
        <v>102</v>
      </c>
      <c r="B244" s="1" t="s">
        <v>648</v>
      </c>
      <c r="C244" s="1">
        <v>720</v>
      </c>
      <c r="D244" s="1" t="s">
        <v>385</v>
      </c>
      <c r="E244" s="1" t="s">
        <v>373</v>
      </c>
      <c r="F244" s="1">
        <v>0.94799999999999995</v>
      </c>
      <c r="G244" s="1">
        <v>-0.25600000000000001</v>
      </c>
      <c r="H244" s="1">
        <v>13.228</v>
      </c>
      <c r="I244" s="1">
        <v>4.2409999999999997</v>
      </c>
      <c r="J244" s="1">
        <v>8.0000000000000002E-3</v>
      </c>
      <c r="K244" s="1">
        <v>-0.85799999999999998</v>
      </c>
      <c r="L244" s="3">
        <f t="shared" si="2"/>
        <v>-0.26358399999999998</v>
      </c>
      <c r="M244" s="1">
        <v>0.58599999999999997</v>
      </c>
      <c r="N244" s="1">
        <v>0.66700000000000004</v>
      </c>
      <c r="P244" s="1">
        <v>-0.40400000000000003</v>
      </c>
      <c r="Q244" s="1">
        <v>7.0000000000000001E-3</v>
      </c>
      <c r="R244" s="1">
        <v>-7.0000000000000001E-3</v>
      </c>
      <c r="S244" s="1">
        <v>0.63600000000000001</v>
      </c>
      <c r="T244" s="1">
        <v>0.71699999999999997</v>
      </c>
    </row>
    <row r="245" spans="1:20" x14ac:dyDescent="0.2">
      <c r="A245" t="s">
        <v>582</v>
      </c>
      <c r="B245" t="s">
        <v>648</v>
      </c>
      <c r="C245">
        <v>721</v>
      </c>
      <c r="D245" t="s">
        <v>386</v>
      </c>
      <c r="E245" t="s">
        <v>387</v>
      </c>
      <c r="F245">
        <v>-2.8069999999999999</v>
      </c>
      <c r="G245">
        <v>-4.4999999999999998E-2</v>
      </c>
      <c r="H245">
        <v>-2.0459999999999998</v>
      </c>
      <c r="I245">
        <v>-0.61</v>
      </c>
      <c r="J245">
        <v>8.0000000000000002E-3</v>
      </c>
      <c r="K245">
        <v>-0.85799999999999998</v>
      </c>
      <c r="L245" s="2">
        <f t="shared" si="2"/>
        <v>-2.2543999999999998E-2</v>
      </c>
      <c r="M245">
        <v>0.82399999999999995</v>
      </c>
      <c r="N245">
        <v>0.90500000000000003</v>
      </c>
      <c r="P245">
        <v>-0.56699999999999995</v>
      </c>
      <c r="Q245">
        <v>7.0000000000000001E-3</v>
      </c>
      <c r="R245">
        <v>-7.0000000000000001E-3</v>
      </c>
      <c r="S245">
        <v>0.88400000000000001</v>
      </c>
      <c r="T245">
        <v>0.96499999999999997</v>
      </c>
    </row>
    <row r="246" spans="1:20" s="1" customFormat="1" x14ac:dyDescent="0.2">
      <c r="A246" s="1" t="s">
        <v>102</v>
      </c>
      <c r="B246" s="1" t="s">
        <v>648</v>
      </c>
      <c r="C246" s="1">
        <v>722</v>
      </c>
      <c r="D246" s="1" t="s">
        <v>388</v>
      </c>
      <c r="E246" s="1" t="s">
        <v>377</v>
      </c>
      <c r="F246" s="1">
        <v>-0.17699999999999999</v>
      </c>
      <c r="G246" s="1">
        <v>-0.28000000000000003</v>
      </c>
      <c r="H246" s="1">
        <v>13.38</v>
      </c>
      <c r="I246" s="1">
        <v>4.4870000000000001</v>
      </c>
      <c r="J246" s="1">
        <v>8.0000000000000002E-3</v>
      </c>
      <c r="K246" s="1">
        <v>-0.85799999999999998</v>
      </c>
      <c r="L246" s="3">
        <f t="shared" si="2"/>
        <v>-0.27858400000000005</v>
      </c>
      <c r="M246" s="1">
        <v>0.57099999999999995</v>
      </c>
      <c r="N246" s="1">
        <v>0.65200000000000002</v>
      </c>
      <c r="P246" s="1">
        <v>-0.219</v>
      </c>
      <c r="Q246" s="1">
        <v>7.0000000000000001E-3</v>
      </c>
      <c r="R246" s="1">
        <v>-7.0000000000000001E-3</v>
      </c>
      <c r="S246" s="1">
        <v>0.621</v>
      </c>
      <c r="T246" s="1">
        <v>0.70199999999999996</v>
      </c>
    </row>
    <row r="247" spans="1:20" s="1" customFormat="1" x14ac:dyDescent="0.2">
      <c r="A247" s="1" t="s">
        <v>102</v>
      </c>
      <c r="B247" s="1" t="s">
        <v>648</v>
      </c>
      <c r="C247" s="1">
        <v>723</v>
      </c>
      <c r="D247" s="1" t="s">
        <v>389</v>
      </c>
      <c r="E247" s="1" t="s">
        <v>381</v>
      </c>
      <c r="F247" s="1">
        <v>-2.1040000000000001</v>
      </c>
      <c r="G247" s="1">
        <v>-0.28299999999999997</v>
      </c>
      <c r="H247" s="1">
        <v>10.807</v>
      </c>
      <c r="I247" s="1">
        <v>3.6219999999999999</v>
      </c>
      <c r="J247" s="1">
        <v>8.0000000000000002E-3</v>
      </c>
      <c r="K247" s="1">
        <v>-0.85799999999999998</v>
      </c>
      <c r="L247" s="3">
        <f t="shared" si="2"/>
        <v>-0.26616799999999996</v>
      </c>
      <c r="M247" s="1">
        <v>0.58399999999999996</v>
      </c>
      <c r="N247" s="1">
        <v>0.66500000000000004</v>
      </c>
      <c r="P247" s="1">
        <v>-0.29699999999999999</v>
      </c>
      <c r="Q247" s="1">
        <v>7.0000000000000001E-3</v>
      </c>
      <c r="R247" s="1">
        <v>-8.0000000000000002E-3</v>
      </c>
      <c r="S247" s="1">
        <v>0.63400000000000001</v>
      </c>
      <c r="T247" s="1">
        <v>0.71499999999999997</v>
      </c>
    </row>
    <row r="248" spans="1:20" s="1" customFormat="1" x14ac:dyDescent="0.2">
      <c r="A248" s="1" t="s">
        <v>102</v>
      </c>
      <c r="B248" s="1" t="s">
        <v>649</v>
      </c>
      <c r="C248" s="1">
        <v>724</v>
      </c>
      <c r="D248" s="1" t="s">
        <v>390</v>
      </c>
      <c r="E248" s="1" t="s">
        <v>383</v>
      </c>
      <c r="F248" s="1">
        <v>-2.968</v>
      </c>
      <c r="G248" s="1">
        <v>-0.314</v>
      </c>
      <c r="H248" s="1">
        <v>9.8320000000000007</v>
      </c>
      <c r="I248" s="1">
        <v>3.3719999999999999</v>
      </c>
      <c r="J248" s="1">
        <v>8.0000000000000002E-3</v>
      </c>
      <c r="K248" s="1">
        <v>-0.85899999999999999</v>
      </c>
      <c r="L248" s="3">
        <f t="shared" si="2"/>
        <v>-0.29025600000000001</v>
      </c>
      <c r="M248" s="1">
        <v>0.56000000000000005</v>
      </c>
      <c r="N248" s="1">
        <v>0.64100000000000001</v>
      </c>
      <c r="P248" s="1">
        <v>-0.252</v>
      </c>
      <c r="Q248" s="1">
        <v>7.0000000000000001E-3</v>
      </c>
      <c r="R248" s="1">
        <v>-8.0000000000000002E-3</v>
      </c>
      <c r="S248" s="1">
        <v>0.61</v>
      </c>
      <c r="T248" s="1">
        <v>0.69099999999999995</v>
      </c>
    </row>
    <row r="249" spans="1:20" x14ac:dyDescent="0.2">
      <c r="A249" t="s">
        <v>106</v>
      </c>
      <c r="B249" t="s">
        <v>649</v>
      </c>
      <c r="C249">
        <v>729</v>
      </c>
      <c r="D249" t="s">
        <v>391</v>
      </c>
      <c r="E249" t="s">
        <v>12</v>
      </c>
      <c r="F249">
        <v>17.481999999999999</v>
      </c>
      <c r="G249">
        <v>-0.45100000000000001</v>
      </c>
      <c r="H249">
        <v>35.845999999999997</v>
      </c>
      <c r="I249">
        <v>11.706</v>
      </c>
      <c r="J249">
        <v>8.0000000000000002E-3</v>
      </c>
      <c r="K249">
        <v>-0.85899999999999999</v>
      </c>
      <c r="L249" s="2">
        <f t="shared" si="2"/>
        <v>-0.59085600000000005</v>
      </c>
      <c r="M249">
        <v>0.25700000000000001</v>
      </c>
      <c r="N249">
        <v>0.33800000000000002</v>
      </c>
      <c r="O249">
        <v>0.35199999999999998</v>
      </c>
      <c r="P249">
        <v>-6.5000000000000002E-2</v>
      </c>
      <c r="Q249">
        <v>7.0000000000000001E-3</v>
      </c>
      <c r="R249">
        <v>-8.9999999999999993E-3</v>
      </c>
      <c r="S249">
        <v>0.29499999999999998</v>
      </c>
      <c r="T249">
        <v>0.376</v>
      </c>
    </row>
    <row r="250" spans="1:20" x14ac:dyDescent="0.2">
      <c r="A250" t="s">
        <v>581</v>
      </c>
      <c r="B250" t="s">
        <v>650</v>
      </c>
      <c r="C250">
        <v>734</v>
      </c>
      <c r="D250" t="s">
        <v>392</v>
      </c>
      <c r="E250" t="s">
        <v>212</v>
      </c>
      <c r="F250">
        <v>14.815</v>
      </c>
      <c r="G250">
        <v>-0.70299999999999996</v>
      </c>
      <c r="H250">
        <v>51.337000000000003</v>
      </c>
      <c r="I250">
        <v>16.79</v>
      </c>
      <c r="J250">
        <v>8.9999999999999993E-3</v>
      </c>
      <c r="K250">
        <v>-0.86</v>
      </c>
      <c r="L250" s="2">
        <f t="shared" si="2"/>
        <v>-0.83633499999999994</v>
      </c>
      <c r="M250">
        <v>0.03</v>
      </c>
      <c r="N250">
        <v>0.111</v>
      </c>
      <c r="P250">
        <v>3.5000000000000003E-2</v>
      </c>
      <c r="Q250">
        <v>8.0000000000000002E-3</v>
      </c>
      <c r="R250">
        <v>-8.9999999999999993E-3</v>
      </c>
      <c r="S250">
        <v>5.8000000000000003E-2</v>
      </c>
      <c r="T250">
        <v>0.13900000000000001</v>
      </c>
    </row>
    <row r="251" spans="1:20" x14ac:dyDescent="0.2">
      <c r="A251" t="s">
        <v>106</v>
      </c>
      <c r="B251" t="s">
        <v>650</v>
      </c>
      <c r="C251">
        <v>735</v>
      </c>
      <c r="D251" t="s">
        <v>393</v>
      </c>
      <c r="E251" t="s">
        <v>6</v>
      </c>
      <c r="F251">
        <v>2.9750000000000001</v>
      </c>
      <c r="G251">
        <v>-0.255</v>
      </c>
      <c r="H251">
        <v>-2.1459999999999999</v>
      </c>
      <c r="I251">
        <v>-0.45700000000000002</v>
      </c>
      <c r="J251">
        <v>8.9999999999999993E-3</v>
      </c>
      <c r="K251">
        <v>-0.86</v>
      </c>
      <c r="L251" s="2">
        <f t="shared" si="2"/>
        <v>-0.281775</v>
      </c>
      <c r="M251">
        <v>0.56999999999999995</v>
      </c>
      <c r="N251">
        <v>0.65100000000000002</v>
      </c>
      <c r="O251">
        <v>0.65</v>
      </c>
      <c r="P251">
        <v>-0.35599999999999998</v>
      </c>
      <c r="Q251">
        <v>8.0000000000000002E-3</v>
      </c>
      <c r="R251">
        <v>-0.01</v>
      </c>
      <c r="S251">
        <v>0.621</v>
      </c>
      <c r="T251">
        <v>0.70199999999999996</v>
      </c>
    </row>
    <row r="252" spans="1:20" x14ac:dyDescent="0.2">
      <c r="A252" t="s">
        <v>582</v>
      </c>
      <c r="B252" t="s">
        <v>651</v>
      </c>
      <c r="C252">
        <v>736</v>
      </c>
      <c r="D252" t="s">
        <v>394</v>
      </c>
      <c r="E252" t="s">
        <v>360</v>
      </c>
      <c r="F252">
        <v>15.603999999999999</v>
      </c>
      <c r="G252">
        <v>9.7000000000000003E-2</v>
      </c>
      <c r="H252">
        <v>52.106999999999999</v>
      </c>
      <c r="I252">
        <v>16.538</v>
      </c>
      <c r="J252">
        <v>8.9999999999999993E-3</v>
      </c>
      <c r="K252">
        <v>-0.86</v>
      </c>
      <c r="L252" s="2">
        <f t="shared" si="2"/>
        <v>-4.3435999999999975E-2</v>
      </c>
      <c r="M252">
        <v>0.80900000000000005</v>
      </c>
      <c r="N252">
        <v>0.89</v>
      </c>
      <c r="P252">
        <v>-0.51800000000000002</v>
      </c>
      <c r="Q252">
        <v>8.0000000000000002E-3</v>
      </c>
      <c r="R252">
        <v>-0.01</v>
      </c>
      <c r="S252">
        <v>0.871</v>
      </c>
      <c r="T252">
        <v>0.95199999999999996</v>
      </c>
    </row>
    <row r="253" spans="1:20" x14ac:dyDescent="0.2">
      <c r="A253" t="s">
        <v>106</v>
      </c>
      <c r="B253" t="s">
        <v>651</v>
      </c>
      <c r="C253">
        <v>740</v>
      </c>
      <c r="D253" t="s">
        <v>395</v>
      </c>
      <c r="E253" t="s">
        <v>12</v>
      </c>
      <c r="F253">
        <v>17.582999999999998</v>
      </c>
      <c r="G253">
        <v>-0.436</v>
      </c>
      <c r="H253">
        <v>36.628</v>
      </c>
      <c r="I253">
        <v>12.317</v>
      </c>
      <c r="J253">
        <v>8.9999999999999993E-3</v>
      </c>
      <c r="K253">
        <v>-0.86</v>
      </c>
      <c r="L253" s="2">
        <f t="shared" si="2"/>
        <v>-0.59424699999999997</v>
      </c>
      <c r="M253">
        <v>0.26700000000000002</v>
      </c>
      <c r="N253">
        <v>0.34799999999999998</v>
      </c>
      <c r="O253">
        <v>0.35199999999999998</v>
      </c>
      <c r="P253">
        <v>7.5999999999999998E-2</v>
      </c>
      <c r="Q253">
        <v>8.0000000000000002E-3</v>
      </c>
      <c r="R253">
        <v>-0.01</v>
      </c>
      <c r="S253">
        <v>0.30499999999999999</v>
      </c>
      <c r="T253">
        <v>0.38600000000000001</v>
      </c>
    </row>
    <row r="254" spans="1:20" x14ac:dyDescent="0.2">
      <c r="A254" t="s">
        <v>581</v>
      </c>
      <c r="B254" t="s">
        <v>651</v>
      </c>
      <c r="C254">
        <v>741</v>
      </c>
      <c r="D254" t="s">
        <v>396</v>
      </c>
      <c r="E254" t="s">
        <v>397</v>
      </c>
      <c r="F254">
        <v>7.2999999999999995E-2</v>
      </c>
      <c r="G254">
        <v>-0.86399999999999999</v>
      </c>
      <c r="H254">
        <v>7.64</v>
      </c>
      <c r="I254">
        <v>3.101</v>
      </c>
      <c r="J254">
        <v>8.9999999999999993E-3</v>
      </c>
      <c r="K254">
        <v>-0.86</v>
      </c>
      <c r="L254" s="2">
        <f t="shared" si="2"/>
        <v>-0.86465700000000001</v>
      </c>
      <c r="M254">
        <v>-4.0000000000000001E-3</v>
      </c>
      <c r="N254">
        <v>7.6999999999999999E-2</v>
      </c>
      <c r="P254">
        <v>0.09</v>
      </c>
      <c r="Q254">
        <v>8.0000000000000002E-3</v>
      </c>
      <c r="R254">
        <v>-1.0999999999999999E-2</v>
      </c>
      <c r="S254">
        <v>2.3E-2</v>
      </c>
      <c r="T254">
        <v>0.104</v>
      </c>
    </row>
    <row r="255" spans="1:20" x14ac:dyDescent="0.2">
      <c r="A255" t="s">
        <v>106</v>
      </c>
      <c r="B255" t="s">
        <v>652</v>
      </c>
      <c r="C255">
        <v>746</v>
      </c>
      <c r="D255" t="s">
        <v>398</v>
      </c>
      <c r="E255" t="s">
        <v>6</v>
      </c>
      <c r="F255">
        <v>2.9020000000000001</v>
      </c>
      <c r="G255">
        <v>-0.26800000000000002</v>
      </c>
      <c r="H255">
        <v>-2.29</v>
      </c>
      <c r="I255">
        <v>-0.60799999999999998</v>
      </c>
      <c r="J255">
        <v>8.9999999999999993E-3</v>
      </c>
      <c r="K255">
        <v>-0.86099999999999999</v>
      </c>
      <c r="L255" s="2">
        <f t="shared" si="2"/>
        <v>-0.29411799999999999</v>
      </c>
      <c r="M255">
        <v>0.55700000000000005</v>
      </c>
      <c r="N255">
        <v>0.63800000000000001</v>
      </c>
      <c r="O255">
        <v>0.65</v>
      </c>
      <c r="P255">
        <v>-0.443</v>
      </c>
      <c r="Q255">
        <v>8.0000000000000002E-3</v>
      </c>
      <c r="R255">
        <v>-1.0999999999999999E-2</v>
      </c>
      <c r="S255">
        <v>0.60899999999999999</v>
      </c>
      <c r="T255">
        <v>0.69</v>
      </c>
    </row>
    <row r="256" spans="1:20" x14ac:dyDescent="0.2">
      <c r="A256" t="s">
        <v>582</v>
      </c>
      <c r="B256" t="s">
        <v>652</v>
      </c>
      <c r="C256">
        <v>747</v>
      </c>
      <c r="D256" t="s">
        <v>399</v>
      </c>
      <c r="E256" t="s">
        <v>387</v>
      </c>
      <c r="F256">
        <v>-2.7759999999999998</v>
      </c>
      <c r="G256">
        <v>-3.9E-2</v>
      </c>
      <c r="H256">
        <v>-2.0070000000000001</v>
      </c>
      <c r="I256">
        <v>-0.61299999999999999</v>
      </c>
      <c r="J256">
        <v>8.9999999999999993E-3</v>
      </c>
      <c r="K256">
        <v>-0.86099999999999999</v>
      </c>
      <c r="L256" s="2">
        <f t="shared" si="2"/>
        <v>-1.4016000000000004E-2</v>
      </c>
      <c r="M256">
        <v>0.83099999999999996</v>
      </c>
      <c r="N256">
        <v>0.91200000000000003</v>
      </c>
      <c r="P256">
        <v>-0.53700000000000003</v>
      </c>
      <c r="Q256">
        <v>8.0000000000000002E-3</v>
      </c>
      <c r="R256">
        <v>-1.0999999999999999E-2</v>
      </c>
      <c r="S256">
        <v>0.89600000000000002</v>
      </c>
      <c r="T256">
        <v>0.97699999999999998</v>
      </c>
    </row>
    <row r="257" spans="1:20" x14ac:dyDescent="0.2">
      <c r="A257" t="s">
        <v>106</v>
      </c>
      <c r="B257" t="s">
        <v>653</v>
      </c>
      <c r="C257">
        <v>753</v>
      </c>
      <c r="D257" t="s">
        <v>400</v>
      </c>
      <c r="E257" t="s">
        <v>12</v>
      </c>
      <c r="F257">
        <v>17.576000000000001</v>
      </c>
      <c r="G257">
        <v>-0.42599999999999999</v>
      </c>
      <c r="H257">
        <v>36.941000000000003</v>
      </c>
      <c r="I257">
        <v>12.632999999999999</v>
      </c>
      <c r="J257">
        <v>8.9999999999999993E-3</v>
      </c>
      <c r="K257">
        <v>-0.86099999999999999</v>
      </c>
      <c r="L257" s="2">
        <f t="shared" si="2"/>
        <v>-0.58418400000000004</v>
      </c>
      <c r="M257">
        <v>0.27100000000000002</v>
      </c>
      <c r="N257">
        <v>0.35199999999999998</v>
      </c>
      <c r="O257">
        <v>0.35199999999999998</v>
      </c>
      <c r="P257">
        <v>3.6999999999999998E-2</v>
      </c>
      <c r="Q257">
        <v>8.0000000000000002E-3</v>
      </c>
      <c r="R257">
        <v>-1.2E-2</v>
      </c>
      <c r="S257">
        <v>0.311</v>
      </c>
      <c r="T257">
        <v>0.39200000000000002</v>
      </c>
    </row>
    <row r="258" spans="1:20" x14ac:dyDescent="0.2">
      <c r="A258" t="s">
        <v>581</v>
      </c>
      <c r="B258" t="s">
        <v>653</v>
      </c>
      <c r="C258">
        <v>754</v>
      </c>
      <c r="D258" t="s">
        <v>401</v>
      </c>
      <c r="E258" t="s">
        <v>212</v>
      </c>
      <c r="F258">
        <v>13.275</v>
      </c>
      <c r="G258">
        <v>-0.71599999999999997</v>
      </c>
      <c r="H258">
        <v>46.968000000000004</v>
      </c>
      <c r="I258">
        <v>15.944000000000001</v>
      </c>
      <c r="J258">
        <v>8.9999999999999993E-3</v>
      </c>
      <c r="K258">
        <v>-0.86199999999999999</v>
      </c>
      <c r="L258" s="2">
        <f t="shared" si="2"/>
        <v>-0.83547499999999997</v>
      </c>
      <c r="M258">
        <v>2.5000000000000001E-2</v>
      </c>
      <c r="N258">
        <v>0.106</v>
      </c>
      <c r="P258">
        <v>5.8999999999999997E-2</v>
      </c>
      <c r="Q258">
        <v>8.0000000000000002E-3</v>
      </c>
      <c r="R258">
        <v>-1.2E-2</v>
      </c>
      <c r="S258">
        <v>5.2999999999999999E-2</v>
      </c>
      <c r="T258">
        <v>0.13400000000000001</v>
      </c>
    </row>
    <row r="259" spans="1:20" x14ac:dyDescent="0.2">
      <c r="A259" t="s">
        <v>106</v>
      </c>
      <c r="B259" t="s">
        <v>654</v>
      </c>
      <c r="C259">
        <v>760</v>
      </c>
      <c r="D259" t="s">
        <v>402</v>
      </c>
      <c r="E259" t="s">
        <v>6</v>
      </c>
      <c r="F259">
        <v>2.9609999999999999</v>
      </c>
      <c r="G259">
        <v>-0.23499999999999999</v>
      </c>
      <c r="H259">
        <v>-2.2240000000000002</v>
      </c>
      <c r="I259">
        <v>-0.60599999999999998</v>
      </c>
      <c r="J259">
        <v>8.9999999999999993E-3</v>
      </c>
      <c r="K259">
        <v>-0.86199999999999999</v>
      </c>
      <c r="L259" s="2">
        <f t="shared" si="2"/>
        <v>-0.26164899999999996</v>
      </c>
      <c r="M259">
        <v>0.58799999999999997</v>
      </c>
      <c r="N259">
        <v>0.66900000000000004</v>
      </c>
      <c r="O259">
        <v>0.65</v>
      </c>
      <c r="P259">
        <v>-0.44400000000000001</v>
      </c>
      <c r="Q259">
        <v>8.0000000000000002E-3</v>
      </c>
      <c r="R259">
        <v>-1.2999999999999999E-2</v>
      </c>
      <c r="S259">
        <v>0.64300000000000002</v>
      </c>
      <c r="T259">
        <v>0.72399999999999998</v>
      </c>
    </row>
    <row r="260" spans="1:20" x14ac:dyDescent="0.2">
      <c r="A260" t="s">
        <v>582</v>
      </c>
      <c r="B260" t="s">
        <v>654</v>
      </c>
      <c r="C260">
        <v>762</v>
      </c>
      <c r="D260" t="s">
        <v>403</v>
      </c>
      <c r="E260" t="s">
        <v>404</v>
      </c>
      <c r="F260">
        <v>-2.7679999999999998</v>
      </c>
      <c r="G260">
        <v>-2.5999999999999999E-2</v>
      </c>
      <c r="H260">
        <v>-1.972</v>
      </c>
      <c r="I260">
        <v>-0.59099999999999997</v>
      </c>
      <c r="J260">
        <v>8.9999999999999993E-3</v>
      </c>
      <c r="K260">
        <v>-0.86199999999999999</v>
      </c>
      <c r="L260" s="2">
        <f t="shared" si="2"/>
        <v>-1.0880000000000022E-3</v>
      </c>
      <c r="M260">
        <v>0.84499999999999997</v>
      </c>
      <c r="N260">
        <v>0.92600000000000005</v>
      </c>
      <c r="P260">
        <v>-0.51</v>
      </c>
      <c r="Q260">
        <v>8.0000000000000002E-3</v>
      </c>
      <c r="R260">
        <v>-1.2999999999999999E-2</v>
      </c>
      <c r="S260">
        <v>0.91200000000000003</v>
      </c>
      <c r="T260">
        <v>0.99299999999999999</v>
      </c>
    </row>
    <row r="261" spans="1:20" x14ac:dyDescent="0.2">
      <c r="A261" t="s">
        <v>106</v>
      </c>
      <c r="B261" t="s">
        <v>655</v>
      </c>
      <c r="C261">
        <v>767</v>
      </c>
      <c r="D261" t="s">
        <v>405</v>
      </c>
      <c r="E261" t="s">
        <v>12</v>
      </c>
      <c r="F261">
        <v>17.515999999999998</v>
      </c>
      <c r="G261">
        <v>-0.43099999999999999</v>
      </c>
      <c r="H261">
        <v>37.106999999999999</v>
      </c>
      <c r="I261">
        <v>12.91</v>
      </c>
      <c r="J261">
        <v>8.9999999999999993E-3</v>
      </c>
      <c r="K261">
        <v>-0.86299999999999999</v>
      </c>
      <c r="L261" s="2">
        <f t="shared" si="2"/>
        <v>-0.58864399999999995</v>
      </c>
      <c r="M261">
        <v>0.26200000000000001</v>
      </c>
      <c r="N261">
        <v>0.34300000000000003</v>
      </c>
      <c r="O261">
        <v>0.35199999999999998</v>
      </c>
      <c r="P261">
        <v>1E-3</v>
      </c>
      <c r="Q261">
        <v>8.9999999999999993E-3</v>
      </c>
      <c r="R261">
        <v>-1.4E-2</v>
      </c>
      <c r="S261">
        <v>0.30199999999999999</v>
      </c>
      <c r="T261">
        <v>0.38300000000000001</v>
      </c>
    </row>
    <row r="262" spans="1:20" x14ac:dyDescent="0.2">
      <c r="A262" t="s">
        <v>581</v>
      </c>
      <c r="B262" t="s">
        <v>655</v>
      </c>
      <c r="C262">
        <v>768</v>
      </c>
      <c r="D262" t="s">
        <v>406</v>
      </c>
      <c r="E262" t="s">
        <v>217</v>
      </c>
      <c r="F262">
        <v>-0.82599999999999996</v>
      </c>
      <c r="G262">
        <v>-0.86199999999999999</v>
      </c>
      <c r="H262">
        <v>6.0880000000000001</v>
      </c>
      <c r="I262">
        <v>2.669</v>
      </c>
      <c r="J262">
        <v>8.9999999999999993E-3</v>
      </c>
      <c r="K262">
        <v>-0.86299999999999999</v>
      </c>
      <c r="L262" s="2">
        <f t="shared" si="2"/>
        <v>-0.85456599999999994</v>
      </c>
      <c r="M262">
        <v>8.0000000000000002E-3</v>
      </c>
      <c r="N262">
        <v>8.8999999999999996E-2</v>
      </c>
      <c r="P262">
        <v>7.0999999999999994E-2</v>
      </c>
      <c r="Q262">
        <v>8.9999999999999993E-3</v>
      </c>
      <c r="R262">
        <v>-1.4E-2</v>
      </c>
      <c r="S262">
        <v>3.5999999999999997E-2</v>
      </c>
      <c r="T262">
        <v>0.11700000000000001</v>
      </c>
    </row>
    <row r="263" spans="1:20" x14ac:dyDescent="0.2">
      <c r="A263" t="s">
        <v>106</v>
      </c>
      <c r="B263" t="s">
        <v>656</v>
      </c>
      <c r="C263">
        <v>773</v>
      </c>
      <c r="D263" t="s">
        <v>407</v>
      </c>
      <c r="E263" t="s">
        <v>6</v>
      </c>
      <c r="F263">
        <v>2.798</v>
      </c>
      <c r="G263">
        <v>-0.254</v>
      </c>
      <c r="H263">
        <v>-2.4830000000000001</v>
      </c>
      <c r="I263">
        <v>-0.623</v>
      </c>
      <c r="J263">
        <v>0.01</v>
      </c>
      <c r="K263">
        <v>-0.86299999999999999</v>
      </c>
      <c r="L263" s="2">
        <f t="shared" ref="L263:L326" si="3">G263-F263*J263</f>
        <v>-0.28198000000000001</v>
      </c>
      <c r="M263">
        <v>0.56999999999999995</v>
      </c>
      <c r="N263">
        <v>0.65100000000000002</v>
      </c>
      <c r="O263">
        <v>0.65</v>
      </c>
      <c r="P263">
        <v>-0.36299999999999999</v>
      </c>
      <c r="Q263">
        <v>8.9999999999999993E-3</v>
      </c>
      <c r="R263">
        <v>-1.4999999999999999E-2</v>
      </c>
      <c r="S263">
        <v>0.626</v>
      </c>
      <c r="T263">
        <v>0.70699999999999996</v>
      </c>
    </row>
    <row r="264" spans="1:20" s="1" customFormat="1" x14ac:dyDescent="0.2">
      <c r="A264" s="1" t="s">
        <v>102</v>
      </c>
      <c r="B264" s="1" t="s">
        <v>656</v>
      </c>
      <c r="C264" s="1">
        <v>774</v>
      </c>
      <c r="D264" s="1" t="s">
        <v>408</v>
      </c>
      <c r="E264" s="1" t="s">
        <v>375</v>
      </c>
      <c r="F264" s="1">
        <v>-1.978</v>
      </c>
      <c r="G264" s="1">
        <v>-0.28799999999999998</v>
      </c>
      <c r="H264" s="1">
        <v>11.436999999999999</v>
      </c>
      <c r="I264" s="1">
        <v>4.3</v>
      </c>
      <c r="J264" s="1">
        <v>0.01</v>
      </c>
      <c r="K264" s="1">
        <v>-0.86299999999999999</v>
      </c>
      <c r="L264" s="3">
        <f t="shared" si="3"/>
        <v>-0.26821999999999996</v>
      </c>
      <c r="M264" s="1">
        <v>0.58199999999999996</v>
      </c>
      <c r="N264" s="1">
        <v>0.66300000000000003</v>
      </c>
      <c r="P264" s="1">
        <v>-0.113</v>
      </c>
      <c r="Q264" s="1">
        <v>8.9999999999999993E-3</v>
      </c>
      <c r="R264" s="1">
        <v>-1.4999999999999999E-2</v>
      </c>
      <c r="S264" s="1">
        <v>0.63800000000000001</v>
      </c>
      <c r="T264" s="1">
        <v>0.71899999999999997</v>
      </c>
    </row>
    <row r="265" spans="1:20" s="1" customFormat="1" x14ac:dyDescent="0.2">
      <c r="A265" s="1" t="s">
        <v>102</v>
      </c>
      <c r="B265" s="1" t="s">
        <v>656</v>
      </c>
      <c r="C265" s="1">
        <v>775</v>
      </c>
      <c r="D265" s="1" t="s">
        <v>409</v>
      </c>
      <c r="E265" s="1" t="s">
        <v>383</v>
      </c>
      <c r="F265" s="1">
        <v>-2.9990000000000001</v>
      </c>
      <c r="G265" s="1">
        <v>-0.29199999999999998</v>
      </c>
      <c r="H265" s="1">
        <v>10.209</v>
      </c>
      <c r="I265" s="1">
        <v>3.8170000000000002</v>
      </c>
      <c r="J265" s="1">
        <v>0.01</v>
      </c>
      <c r="K265" s="1">
        <v>-0.86299999999999999</v>
      </c>
      <c r="L265" s="3">
        <f t="shared" si="3"/>
        <v>-0.26200999999999997</v>
      </c>
      <c r="M265" s="1">
        <v>0.58799999999999997</v>
      </c>
      <c r="N265" s="1">
        <v>0.66900000000000004</v>
      </c>
      <c r="P265" s="1">
        <v>-0.189</v>
      </c>
      <c r="Q265" s="1">
        <v>8.9999999999999993E-3</v>
      </c>
      <c r="R265" s="1">
        <v>-1.4999999999999999E-2</v>
      </c>
      <c r="S265" s="1">
        <v>0.64400000000000002</v>
      </c>
      <c r="T265" s="1">
        <v>0.72499999999999998</v>
      </c>
    </row>
    <row r="266" spans="1:20" x14ac:dyDescent="0.2">
      <c r="A266" t="s">
        <v>581</v>
      </c>
      <c r="B266" t="s">
        <v>656</v>
      </c>
      <c r="C266">
        <v>776</v>
      </c>
      <c r="D266" t="s">
        <v>410</v>
      </c>
      <c r="E266" t="s">
        <v>411</v>
      </c>
      <c r="F266">
        <v>14.298</v>
      </c>
      <c r="G266">
        <v>-0.72599999999999998</v>
      </c>
      <c r="H266">
        <v>52.042000000000002</v>
      </c>
      <c r="I266">
        <v>18.242000000000001</v>
      </c>
      <c r="J266">
        <v>0.01</v>
      </c>
      <c r="K266">
        <v>-0.86399999999999999</v>
      </c>
      <c r="L266" s="2">
        <f t="shared" si="3"/>
        <v>-0.86897999999999997</v>
      </c>
      <c r="M266">
        <v>0</v>
      </c>
      <c r="N266">
        <v>8.1000000000000003E-2</v>
      </c>
      <c r="P266">
        <v>0.14699999999999999</v>
      </c>
      <c r="Q266">
        <v>8.9999999999999993E-3</v>
      </c>
      <c r="R266">
        <v>-1.4999999999999999E-2</v>
      </c>
      <c r="S266">
        <v>2.7E-2</v>
      </c>
      <c r="T266">
        <v>0.108</v>
      </c>
    </row>
    <row r="267" spans="1:20" s="1" customFormat="1" x14ac:dyDescent="0.2">
      <c r="A267" s="1" t="s">
        <v>102</v>
      </c>
      <c r="B267" s="1" t="s">
        <v>656</v>
      </c>
      <c r="C267" s="1">
        <v>777</v>
      </c>
      <c r="D267" s="1" t="s">
        <v>412</v>
      </c>
      <c r="E267" s="1" t="s">
        <v>381</v>
      </c>
      <c r="F267" s="1">
        <v>-2.1120000000000001</v>
      </c>
      <c r="G267" s="1">
        <v>-0.28399999999999997</v>
      </c>
      <c r="H267" s="1">
        <v>11.311999999999999</v>
      </c>
      <c r="I267" s="1">
        <v>4.13</v>
      </c>
      <c r="J267" s="1">
        <v>0.01</v>
      </c>
      <c r="K267" s="1">
        <v>-0.86399999999999999</v>
      </c>
      <c r="L267" s="3">
        <f t="shared" si="3"/>
        <v>-0.26288</v>
      </c>
      <c r="M267" s="1">
        <v>0.58699999999999997</v>
      </c>
      <c r="N267" s="1">
        <v>0.66800000000000004</v>
      </c>
      <c r="P267" s="1">
        <v>-0.25700000000000001</v>
      </c>
      <c r="Q267" s="1">
        <v>8.9999999999999993E-3</v>
      </c>
      <c r="R267" s="1">
        <v>-1.4999999999999999E-2</v>
      </c>
      <c r="S267" s="1">
        <v>0.64400000000000002</v>
      </c>
      <c r="T267" s="1">
        <v>0.72499999999999998</v>
      </c>
    </row>
    <row r="268" spans="1:20" x14ac:dyDescent="0.2">
      <c r="A268" t="s">
        <v>106</v>
      </c>
      <c r="B268" t="s">
        <v>657</v>
      </c>
      <c r="C268">
        <v>778</v>
      </c>
      <c r="D268" t="s">
        <v>413</v>
      </c>
      <c r="E268" t="s">
        <v>12</v>
      </c>
      <c r="F268">
        <v>17.494</v>
      </c>
      <c r="G268">
        <v>-0.42199999999999999</v>
      </c>
      <c r="H268">
        <v>37.39</v>
      </c>
      <c r="I268">
        <v>13.202</v>
      </c>
      <c r="J268">
        <v>0.01</v>
      </c>
      <c r="K268">
        <v>-0.86399999999999999</v>
      </c>
      <c r="L268" s="2">
        <f t="shared" si="3"/>
        <v>-0.59694000000000003</v>
      </c>
      <c r="M268">
        <v>0.26700000000000002</v>
      </c>
      <c r="N268">
        <v>0.34799999999999998</v>
      </c>
      <c r="O268">
        <v>0.35199999999999998</v>
      </c>
      <c r="P268">
        <v>6.0000000000000001E-3</v>
      </c>
      <c r="Q268">
        <v>8.9999999999999993E-3</v>
      </c>
      <c r="R268">
        <v>-1.4999999999999999E-2</v>
      </c>
      <c r="S268">
        <v>0.307</v>
      </c>
      <c r="T268">
        <v>0.38800000000000001</v>
      </c>
    </row>
    <row r="269" spans="1:20" s="1" customFormat="1" x14ac:dyDescent="0.2">
      <c r="A269" s="1" t="s">
        <v>102</v>
      </c>
      <c r="B269" s="1" t="s">
        <v>657</v>
      </c>
      <c r="C269" s="1">
        <v>779</v>
      </c>
      <c r="D269" s="1" t="s">
        <v>414</v>
      </c>
      <c r="E269" s="1" t="s">
        <v>377</v>
      </c>
      <c r="F269" s="1">
        <v>-0.23300000000000001</v>
      </c>
      <c r="G269" s="1">
        <v>-0.28799999999999998</v>
      </c>
      <c r="H269" s="1">
        <v>13.904</v>
      </c>
      <c r="I269" s="1">
        <v>5.056</v>
      </c>
      <c r="J269" s="1">
        <v>0.01</v>
      </c>
      <c r="K269" s="1">
        <v>-0.86399999999999999</v>
      </c>
      <c r="L269" s="3">
        <f t="shared" si="3"/>
        <v>-0.28566999999999998</v>
      </c>
      <c r="M269" s="1">
        <v>0.56599999999999995</v>
      </c>
      <c r="N269" s="1">
        <v>0.64700000000000002</v>
      </c>
      <c r="P269" s="1">
        <v>-0.218</v>
      </c>
      <c r="Q269" s="1">
        <v>8.9999999999999993E-3</v>
      </c>
      <c r="R269" s="1">
        <v>-1.4999999999999999E-2</v>
      </c>
      <c r="S269" s="1">
        <v>0.621</v>
      </c>
      <c r="T269" s="1">
        <v>0.70199999999999996</v>
      </c>
    </row>
    <row r="270" spans="1:20" s="1" customFormat="1" x14ac:dyDescent="0.2">
      <c r="A270" s="1" t="s">
        <v>102</v>
      </c>
      <c r="B270" s="1" t="s">
        <v>657</v>
      </c>
      <c r="C270" s="1">
        <v>780</v>
      </c>
      <c r="D270" s="1" t="s">
        <v>415</v>
      </c>
      <c r="E270" s="1" t="s">
        <v>375</v>
      </c>
      <c r="F270" s="1">
        <v>-1.978</v>
      </c>
      <c r="G270" s="1">
        <v>-0.30399999999999999</v>
      </c>
      <c r="H270" s="1">
        <v>11.398999999999999</v>
      </c>
      <c r="I270" s="1">
        <v>4.2510000000000003</v>
      </c>
      <c r="J270" s="1">
        <v>0.01</v>
      </c>
      <c r="K270" s="1">
        <v>-0.86399999999999999</v>
      </c>
      <c r="L270" s="3">
        <f t="shared" si="3"/>
        <v>-0.28421999999999997</v>
      </c>
      <c r="M270" s="1">
        <v>0.56699999999999995</v>
      </c>
      <c r="N270" s="1">
        <v>0.64800000000000002</v>
      </c>
      <c r="P270" s="1">
        <v>-0.182</v>
      </c>
      <c r="Q270" s="1">
        <v>8.9999999999999993E-3</v>
      </c>
      <c r="R270" s="1">
        <v>-1.4999999999999999E-2</v>
      </c>
      <c r="S270" s="1">
        <v>0.622</v>
      </c>
      <c r="T270" s="1">
        <v>0.70299999999999996</v>
      </c>
    </row>
    <row r="271" spans="1:20" s="1" customFormat="1" x14ac:dyDescent="0.2">
      <c r="A271" s="1" t="s">
        <v>102</v>
      </c>
      <c r="B271" s="1" t="s">
        <v>657</v>
      </c>
      <c r="C271" s="1">
        <v>781</v>
      </c>
      <c r="D271" s="1" t="s">
        <v>416</v>
      </c>
      <c r="E271" s="1" t="s">
        <v>373</v>
      </c>
      <c r="F271" s="1">
        <v>1.0149999999999999</v>
      </c>
      <c r="G271" s="1">
        <v>-0.27800000000000002</v>
      </c>
      <c r="H271" s="1">
        <v>14.292999999999999</v>
      </c>
      <c r="I271" s="1">
        <v>5.117</v>
      </c>
      <c r="J271" s="1">
        <v>0.01</v>
      </c>
      <c r="K271" s="1">
        <v>-0.86399999999999999</v>
      </c>
      <c r="L271" s="3">
        <f t="shared" si="3"/>
        <v>-0.28815000000000002</v>
      </c>
      <c r="M271" s="1">
        <v>0.56399999999999995</v>
      </c>
      <c r="N271" s="1">
        <v>0.64500000000000002</v>
      </c>
      <c r="P271" s="1">
        <v>-0.30199999999999999</v>
      </c>
      <c r="Q271" s="1">
        <v>8.9999999999999993E-3</v>
      </c>
      <c r="R271" s="1">
        <v>-1.4999999999999999E-2</v>
      </c>
      <c r="S271" s="1">
        <v>0.61899999999999999</v>
      </c>
      <c r="T271" s="1">
        <v>0.7</v>
      </c>
    </row>
    <row r="272" spans="1:20" x14ac:dyDescent="0.2">
      <c r="A272" t="s">
        <v>582</v>
      </c>
      <c r="B272" t="s">
        <v>657</v>
      </c>
      <c r="C272">
        <v>782</v>
      </c>
      <c r="D272" t="s">
        <v>417</v>
      </c>
      <c r="E272" t="s">
        <v>360</v>
      </c>
      <c r="F272">
        <v>15.747999999999999</v>
      </c>
      <c r="G272">
        <v>0.13100000000000001</v>
      </c>
      <c r="H272">
        <v>54.619</v>
      </c>
      <c r="I272">
        <v>18.704000000000001</v>
      </c>
      <c r="J272">
        <v>0.01</v>
      </c>
      <c r="K272">
        <v>-0.86399999999999999</v>
      </c>
      <c r="L272" s="2">
        <f t="shared" si="3"/>
        <v>-2.6480000000000004E-2</v>
      </c>
      <c r="M272">
        <v>0.82299999999999995</v>
      </c>
      <c r="N272">
        <v>0.90400000000000003</v>
      </c>
      <c r="P272">
        <v>-0.40500000000000003</v>
      </c>
      <c r="Q272">
        <v>8.9999999999999993E-3</v>
      </c>
      <c r="R272">
        <v>-1.6E-2</v>
      </c>
      <c r="S272">
        <v>0.89200000000000002</v>
      </c>
      <c r="T272">
        <v>0.97299999999999998</v>
      </c>
    </row>
    <row r="273" spans="1:20" x14ac:dyDescent="0.2">
      <c r="A273" t="s">
        <v>106</v>
      </c>
      <c r="B273" t="s">
        <v>657</v>
      </c>
      <c r="C273">
        <v>783</v>
      </c>
      <c r="D273" t="s">
        <v>418</v>
      </c>
      <c r="E273" t="s">
        <v>6</v>
      </c>
      <c r="F273">
        <v>2.8959999999999999</v>
      </c>
      <c r="G273">
        <v>-0.28199999999999997</v>
      </c>
      <c r="H273">
        <v>-2.0870000000000002</v>
      </c>
      <c r="I273">
        <v>-0.40600000000000003</v>
      </c>
      <c r="J273">
        <v>0.01</v>
      </c>
      <c r="K273">
        <v>-0.86399999999999999</v>
      </c>
      <c r="L273" s="2">
        <f t="shared" si="3"/>
        <v>-0.31095999999999996</v>
      </c>
      <c r="M273">
        <v>0.54200000000000004</v>
      </c>
      <c r="N273">
        <v>0.623</v>
      </c>
      <c r="O273">
        <v>0.65</v>
      </c>
      <c r="P273">
        <v>-0.27400000000000002</v>
      </c>
      <c r="Q273">
        <v>8.9999999999999993E-3</v>
      </c>
      <c r="R273">
        <v>-1.6E-2</v>
      </c>
      <c r="S273">
        <v>0.59599999999999997</v>
      </c>
      <c r="T273">
        <v>0.67700000000000005</v>
      </c>
    </row>
    <row r="274" spans="1:20" x14ac:dyDescent="0.2">
      <c r="A274" t="s">
        <v>582</v>
      </c>
      <c r="B274" t="s">
        <v>658</v>
      </c>
      <c r="C274">
        <v>784</v>
      </c>
      <c r="D274" t="s">
        <v>419</v>
      </c>
      <c r="E274" t="s">
        <v>354</v>
      </c>
      <c r="F274">
        <v>-2.82</v>
      </c>
      <c r="G274">
        <v>-3.1E-2</v>
      </c>
      <c r="H274">
        <v>-1.978</v>
      </c>
      <c r="I274">
        <v>-0.502</v>
      </c>
      <c r="J274">
        <v>0.01</v>
      </c>
      <c r="K274">
        <v>-0.86399999999999999</v>
      </c>
      <c r="L274" s="2">
        <f t="shared" si="3"/>
        <v>-2.8000000000000004E-3</v>
      </c>
      <c r="M274">
        <v>0.84199999999999997</v>
      </c>
      <c r="N274">
        <v>0.92300000000000004</v>
      </c>
      <c r="P274">
        <v>-0.40699999999999997</v>
      </c>
      <c r="Q274">
        <v>8.9999999999999993E-3</v>
      </c>
      <c r="R274">
        <v>-1.6E-2</v>
      </c>
      <c r="S274">
        <v>0.91200000000000003</v>
      </c>
      <c r="T274">
        <v>0.99299999999999999</v>
      </c>
    </row>
    <row r="275" spans="1:20" x14ac:dyDescent="0.2">
      <c r="A275" t="s">
        <v>582</v>
      </c>
      <c r="B275" t="s">
        <v>659</v>
      </c>
      <c r="C275">
        <v>785</v>
      </c>
      <c r="D275" t="s">
        <v>420</v>
      </c>
      <c r="E275" t="s">
        <v>352</v>
      </c>
      <c r="F275">
        <v>15.67</v>
      </c>
      <c r="G275">
        <v>0.113</v>
      </c>
      <c r="H275">
        <v>52.744</v>
      </c>
      <c r="I275">
        <v>17.035</v>
      </c>
      <c r="J275">
        <v>0.01</v>
      </c>
      <c r="K275">
        <v>-0.86399999999999999</v>
      </c>
      <c r="L275" s="2">
        <f t="shared" si="3"/>
        <v>-4.3700000000000003E-2</v>
      </c>
      <c r="M275">
        <v>0.80500000000000005</v>
      </c>
      <c r="N275">
        <v>0.88600000000000001</v>
      </c>
      <c r="P275">
        <v>-1.5069999999999999</v>
      </c>
      <c r="Q275">
        <v>8.9999999999999993E-3</v>
      </c>
      <c r="R275">
        <v>-1.6E-2</v>
      </c>
      <c r="S275">
        <v>0.873</v>
      </c>
      <c r="T275">
        <v>0.95399999999999996</v>
      </c>
    </row>
    <row r="276" spans="1:20" x14ac:dyDescent="0.2">
      <c r="A276" t="s">
        <v>581</v>
      </c>
      <c r="B276" t="s">
        <v>660</v>
      </c>
      <c r="C276">
        <v>796</v>
      </c>
      <c r="D276" t="s">
        <v>421</v>
      </c>
      <c r="E276" t="s">
        <v>422</v>
      </c>
      <c r="F276">
        <v>-1.155</v>
      </c>
      <c r="G276">
        <v>-0.878</v>
      </c>
      <c r="H276">
        <v>4.92</v>
      </c>
      <c r="I276">
        <v>2.444</v>
      </c>
      <c r="J276">
        <v>0.01</v>
      </c>
      <c r="K276">
        <v>-0.86499999999999999</v>
      </c>
      <c r="L276" s="2">
        <f t="shared" si="3"/>
        <v>-0.86645000000000005</v>
      </c>
      <c r="M276">
        <v>-1E-3</v>
      </c>
      <c r="N276">
        <v>0.08</v>
      </c>
      <c r="P276">
        <v>0.16</v>
      </c>
      <c r="Q276">
        <v>8.9999999999999993E-3</v>
      </c>
      <c r="R276">
        <v>-1.7000000000000001E-2</v>
      </c>
      <c r="S276">
        <v>2.5999999999999999E-2</v>
      </c>
      <c r="T276">
        <v>0.107</v>
      </c>
    </row>
    <row r="277" spans="1:20" x14ac:dyDescent="0.2">
      <c r="A277" t="s">
        <v>106</v>
      </c>
      <c r="B277" t="s">
        <v>661</v>
      </c>
      <c r="C277">
        <v>797</v>
      </c>
      <c r="D277" t="s">
        <v>423</v>
      </c>
      <c r="E277" t="s">
        <v>169</v>
      </c>
      <c r="F277">
        <v>1.95</v>
      </c>
      <c r="G277">
        <v>-0.27600000000000002</v>
      </c>
      <c r="H277">
        <v>23.518999999999998</v>
      </c>
      <c r="I277">
        <v>8.5150000000000006</v>
      </c>
      <c r="J277">
        <v>0.01</v>
      </c>
      <c r="K277">
        <v>-0.86499999999999999</v>
      </c>
      <c r="L277" s="2">
        <f t="shared" si="3"/>
        <v>-0.29550000000000004</v>
      </c>
      <c r="M277">
        <v>0.55600000000000005</v>
      </c>
      <c r="N277">
        <v>0.63700000000000001</v>
      </c>
      <c r="O277">
        <v>0.64100000000000001</v>
      </c>
      <c r="P277">
        <v>-0.19600000000000001</v>
      </c>
      <c r="Q277">
        <v>8.9999999999999993E-3</v>
      </c>
      <c r="R277">
        <v>-1.7000000000000001E-2</v>
      </c>
      <c r="S277">
        <v>0.61199999999999999</v>
      </c>
      <c r="T277">
        <v>0.69299999999999995</v>
      </c>
    </row>
    <row r="278" spans="1:20" x14ac:dyDescent="0.2">
      <c r="A278" t="s">
        <v>581</v>
      </c>
      <c r="B278" t="s">
        <v>661</v>
      </c>
      <c r="C278">
        <v>799</v>
      </c>
      <c r="D278" t="s">
        <v>424</v>
      </c>
      <c r="E278" t="s">
        <v>163</v>
      </c>
      <c r="F278">
        <v>14.542999999999999</v>
      </c>
      <c r="G278">
        <v>-0.73699999999999999</v>
      </c>
      <c r="H278">
        <v>54.475999999999999</v>
      </c>
      <c r="I278">
        <v>19.684999999999999</v>
      </c>
      <c r="J278">
        <v>0.01</v>
      </c>
      <c r="K278">
        <v>-0.86599999999999999</v>
      </c>
      <c r="L278" s="2">
        <f t="shared" si="3"/>
        <v>-0.88243000000000005</v>
      </c>
      <c r="M278">
        <v>-1.7999999999999999E-2</v>
      </c>
      <c r="N278">
        <v>6.3E-2</v>
      </c>
      <c r="P278">
        <v>0.23799999999999999</v>
      </c>
      <c r="Q278">
        <v>8.9999999999999993E-3</v>
      </c>
      <c r="R278">
        <v>-1.7000000000000001E-2</v>
      </c>
      <c r="S278">
        <v>8.0000000000000002E-3</v>
      </c>
      <c r="T278">
        <v>8.8999999999999996E-2</v>
      </c>
    </row>
    <row r="279" spans="1:20" x14ac:dyDescent="0.2">
      <c r="A279" t="s">
        <v>106</v>
      </c>
      <c r="B279" t="s">
        <v>662</v>
      </c>
      <c r="C279">
        <v>803</v>
      </c>
      <c r="D279" t="s">
        <v>425</v>
      </c>
      <c r="E279" t="s">
        <v>12</v>
      </c>
      <c r="F279">
        <v>17.335999999999999</v>
      </c>
      <c r="G279">
        <v>-0.40300000000000002</v>
      </c>
      <c r="H279">
        <v>37.963000000000001</v>
      </c>
      <c r="I279">
        <v>14.012</v>
      </c>
      <c r="J279">
        <v>0.01</v>
      </c>
      <c r="K279">
        <v>-0.86599999999999999</v>
      </c>
      <c r="L279" s="2">
        <f t="shared" si="3"/>
        <v>-0.57635999999999998</v>
      </c>
      <c r="M279">
        <v>0.27900000000000003</v>
      </c>
      <c r="N279">
        <v>0.36</v>
      </c>
      <c r="O279">
        <v>0.35199999999999998</v>
      </c>
      <c r="P279">
        <v>0.221</v>
      </c>
      <c r="Q279">
        <v>8.9999999999999993E-3</v>
      </c>
      <c r="R279">
        <v>-1.7000000000000001E-2</v>
      </c>
      <c r="S279">
        <v>0.32</v>
      </c>
      <c r="T279">
        <v>0.40100000000000002</v>
      </c>
    </row>
    <row r="280" spans="1:20" x14ac:dyDescent="0.2">
      <c r="A280" t="s">
        <v>582</v>
      </c>
      <c r="B280" t="s">
        <v>662</v>
      </c>
      <c r="C280">
        <v>806</v>
      </c>
      <c r="D280" t="s">
        <v>426</v>
      </c>
      <c r="E280" t="s">
        <v>354</v>
      </c>
      <c r="F280">
        <v>-3.081</v>
      </c>
      <c r="G280">
        <v>-5.7000000000000002E-2</v>
      </c>
      <c r="H280">
        <v>-3.008</v>
      </c>
      <c r="I280">
        <v>-1.042</v>
      </c>
      <c r="J280">
        <v>0.01</v>
      </c>
      <c r="K280">
        <v>-0.86599999999999999</v>
      </c>
      <c r="L280" s="2">
        <f t="shared" si="3"/>
        <v>-2.6190000000000001E-2</v>
      </c>
      <c r="M280">
        <v>0.82099999999999995</v>
      </c>
      <c r="N280">
        <v>0.90200000000000002</v>
      </c>
      <c r="P280">
        <v>-0.59</v>
      </c>
      <c r="Q280">
        <v>0.01</v>
      </c>
      <c r="R280">
        <v>-1.7000000000000001E-2</v>
      </c>
      <c r="S280">
        <v>0.89100000000000001</v>
      </c>
      <c r="T280">
        <v>0.97199999999999998</v>
      </c>
    </row>
    <row r="281" spans="1:20" x14ac:dyDescent="0.2">
      <c r="A281" t="s">
        <v>582</v>
      </c>
      <c r="B281" t="s">
        <v>663</v>
      </c>
      <c r="C281">
        <v>815</v>
      </c>
      <c r="D281" t="s">
        <v>427</v>
      </c>
      <c r="E281" t="s">
        <v>360</v>
      </c>
      <c r="F281">
        <v>15.763999999999999</v>
      </c>
      <c r="G281">
        <v>0.13400000000000001</v>
      </c>
      <c r="H281">
        <v>54.533000000000001</v>
      </c>
      <c r="I281">
        <v>18.521999999999998</v>
      </c>
      <c r="J281">
        <v>0.01</v>
      </c>
      <c r="K281">
        <v>-0.86699999999999999</v>
      </c>
      <c r="L281" s="2">
        <f t="shared" si="3"/>
        <v>-2.3639999999999994E-2</v>
      </c>
      <c r="M281">
        <v>0.81499999999999995</v>
      </c>
      <c r="N281">
        <v>0.89600000000000002</v>
      </c>
      <c r="P281">
        <v>-1.2709999999999999</v>
      </c>
      <c r="Q281">
        <v>0.01</v>
      </c>
      <c r="R281">
        <v>-1.7999999999999999E-2</v>
      </c>
      <c r="S281">
        <v>0.88500000000000001</v>
      </c>
      <c r="T281">
        <v>0.96599999999999997</v>
      </c>
    </row>
    <row r="282" spans="1:20" x14ac:dyDescent="0.2">
      <c r="A282" t="s">
        <v>582</v>
      </c>
      <c r="B282" t="s">
        <v>663</v>
      </c>
      <c r="C282">
        <v>816</v>
      </c>
      <c r="D282" t="s">
        <v>428</v>
      </c>
      <c r="E282" t="s">
        <v>387</v>
      </c>
      <c r="F282">
        <v>-2.9359999999999999</v>
      </c>
      <c r="G282">
        <v>-7.4999999999999997E-2</v>
      </c>
      <c r="H282">
        <v>-2.4500000000000002</v>
      </c>
      <c r="I282">
        <v>-0.755</v>
      </c>
      <c r="J282">
        <v>1.0999999999999999E-2</v>
      </c>
      <c r="K282">
        <v>-0.86699999999999999</v>
      </c>
      <c r="L282" s="2">
        <f t="shared" si="3"/>
        <v>-4.2703999999999999E-2</v>
      </c>
      <c r="M282">
        <v>0.80200000000000005</v>
      </c>
      <c r="N282">
        <v>0.88300000000000001</v>
      </c>
      <c r="P282">
        <v>-0.501</v>
      </c>
      <c r="Q282">
        <v>0.01</v>
      </c>
      <c r="R282">
        <v>-1.7999999999999999E-2</v>
      </c>
      <c r="S282">
        <v>0.872</v>
      </c>
      <c r="T282">
        <v>0.95299999999999996</v>
      </c>
    </row>
    <row r="283" spans="1:20" x14ac:dyDescent="0.2">
      <c r="A283" t="s">
        <v>118</v>
      </c>
      <c r="B283" t="s">
        <v>429</v>
      </c>
      <c r="C283">
        <v>820</v>
      </c>
      <c r="D283" t="s">
        <v>430</v>
      </c>
      <c r="E283" t="s">
        <v>387</v>
      </c>
      <c r="F283">
        <v>-2.786</v>
      </c>
      <c r="G283">
        <v>-4.2000000000000003E-2</v>
      </c>
      <c r="H283">
        <v>-2.202</v>
      </c>
      <c r="I283">
        <v>-0.79300000000000004</v>
      </c>
      <c r="J283">
        <v>1.0999999999999999E-2</v>
      </c>
      <c r="K283">
        <v>-0.86699999999999999</v>
      </c>
      <c r="L283" s="2">
        <f t="shared" si="3"/>
        <v>-1.1354000000000003E-2</v>
      </c>
      <c r="M283">
        <v>0.83299999999999996</v>
      </c>
      <c r="N283">
        <v>0.91400000000000003</v>
      </c>
      <c r="P283">
        <v>-0.629</v>
      </c>
      <c r="Q283">
        <v>0.01</v>
      </c>
      <c r="R283">
        <v>-1.7999999999999999E-2</v>
      </c>
      <c r="S283">
        <v>0.90500000000000003</v>
      </c>
      <c r="T283">
        <v>0.98599999999999999</v>
      </c>
    </row>
    <row r="284" spans="1:20" x14ac:dyDescent="0.2">
      <c r="A284" t="s">
        <v>2</v>
      </c>
      <c r="B284" t="s">
        <v>429</v>
      </c>
      <c r="C284">
        <v>821</v>
      </c>
      <c r="D284" t="s">
        <v>431</v>
      </c>
      <c r="E284" t="s">
        <v>217</v>
      </c>
      <c r="F284">
        <v>-0.246</v>
      </c>
      <c r="G284">
        <v>-0.86199999999999999</v>
      </c>
      <c r="H284">
        <v>7.7110000000000003</v>
      </c>
      <c r="I284">
        <v>3.2719999999999998</v>
      </c>
      <c r="J284">
        <v>1.0999999999999999E-2</v>
      </c>
      <c r="K284">
        <v>-0.86699999999999999</v>
      </c>
      <c r="L284" s="2">
        <f t="shared" si="3"/>
        <v>-0.859294</v>
      </c>
      <c r="M284">
        <v>8.0000000000000002E-3</v>
      </c>
      <c r="N284">
        <v>8.8999999999999996E-2</v>
      </c>
      <c r="P284">
        <v>-7.1999999999999995E-2</v>
      </c>
      <c r="Q284">
        <v>0.01</v>
      </c>
      <c r="R284">
        <v>-1.7999999999999999E-2</v>
      </c>
      <c r="S284">
        <v>3.5000000000000003E-2</v>
      </c>
      <c r="T284">
        <v>0.11600000000000001</v>
      </c>
    </row>
    <row r="285" spans="1:20" x14ac:dyDescent="0.2">
      <c r="A285" t="s">
        <v>2</v>
      </c>
      <c r="B285" t="s">
        <v>432</v>
      </c>
      <c r="C285">
        <v>822</v>
      </c>
      <c r="D285" t="s">
        <v>433</v>
      </c>
      <c r="E285" t="s">
        <v>212</v>
      </c>
      <c r="F285">
        <v>15.587999999999999</v>
      </c>
      <c r="G285">
        <v>-0.70899999999999996</v>
      </c>
      <c r="H285">
        <v>56.009</v>
      </c>
      <c r="I285">
        <v>19.884</v>
      </c>
      <c r="J285">
        <v>1.0999999999999999E-2</v>
      </c>
      <c r="K285">
        <v>-0.86699999999999999</v>
      </c>
      <c r="L285" s="2">
        <f t="shared" si="3"/>
        <v>-0.88046799999999992</v>
      </c>
      <c r="M285">
        <v>-7.0000000000000001E-3</v>
      </c>
      <c r="N285">
        <v>7.3999999999999996E-2</v>
      </c>
      <c r="P285">
        <v>-0.56299999999999994</v>
      </c>
      <c r="Q285">
        <v>0.01</v>
      </c>
      <c r="R285">
        <v>-1.7999999999999999E-2</v>
      </c>
      <c r="S285">
        <v>0.02</v>
      </c>
      <c r="T285">
        <v>0.10100000000000001</v>
      </c>
    </row>
    <row r="286" spans="1:20" x14ac:dyDescent="0.2">
      <c r="A286" t="s">
        <v>106</v>
      </c>
      <c r="B286" t="s">
        <v>432</v>
      </c>
      <c r="C286">
        <v>823</v>
      </c>
      <c r="D286" t="s">
        <v>434</v>
      </c>
      <c r="E286" t="s">
        <v>37</v>
      </c>
      <c r="F286">
        <v>17.062000000000001</v>
      </c>
      <c r="G286">
        <v>-0.42899999999999999</v>
      </c>
      <c r="H286">
        <v>36.883000000000003</v>
      </c>
      <c r="I286">
        <v>13.345000000000001</v>
      </c>
      <c r="J286">
        <v>1.0999999999999999E-2</v>
      </c>
      <c r="K286">
        <v>-0.86799999999999999</v>
      </c>
      <c r="L286" s="2">
        <f t="shared" si="3"/>
        <v>-0.61668199999999995</v>
      </c>
      <c r="M286">
        <v>0.25</v>
      </c>
      <c r="N286">
        <v>0.33100000000000002</v>
      </c>
      <c r="O286">
        <v>0.35199999999999998</v>
      </c>
      <c r="P286">
        <v>-0.34300000000000003</v>
      </c>
      <c r="Q286">
        <v>0.01</v>
      </c>
      <c r="R286">
        <v>-1.7999999999999999E-2</v>
      </c>
      <c r="S286">
        <v>0.29099999999999998</v>
      </c>
      <c r="T286">
        <v>0.372</v>
      </c>
    </row>
    <row r="287" spans="1:20" x14ac:dyDescent="0.2">
      <c r="A287" t="s">
        <v>106</v>
      </c>
      <c r="B287" t="s">
        <v>435</v>
      </c>
      <c r="C287">
        <v>827</v>
      </c>
      <c r="D287" t="s">
        <v>436</v>
      </c>
      <c r="E287" t="s">
        <v>6</v>
      </c>
      <c r="F287">
        <v>2.9750000000000001</v>
      </c>
      <c r="G287">
        <v>-0.25</v>
      </c>
      <c r="H287">
        <v>-2.4950000000000001</v>
      </c>
      <c r="I287">
        <v>-0.78100000000000003</v>
      </c>
      <c r="J287">
        <v>1.0999999999999999E-2</v>
      </c>
      <c r="K287">
        <v>-0.86799999999999999</v>
      </c>
      <c r="L287" s="2">
        <f t="shared" si="3"/>
        <v>-0.282725</v>
      </c>
      <c r="M287">
        <v>0.57099999999999995</v>
      </c>
      <c r="N287">
        <v>0.65200000000000002</v>
      </c>
      <c r="O287">
        <v>0.65</v>
      </c>
      <c r="P287">
        <v>-0.51900000000000002</v>
      </c>
      <c r="Q287">
        <v>0.01</v>
      </c>
      <c r="R287">
        <v>-1.7999999999999999E-2</v>
      </c>
      <c r="S287">
        <v>0.628</v>
      </c>
      <c r="T287">
        <v>0.70899999999999996</v>
      </c>
    </row>
    <row r="288" spans="1:20" x14ac:dyDescent="0.2">
      <c r="A288" t="s">
        <v>2</v>
      </c>
      <c r="B288" t="s">
        <v>435</v>
      </c>
      <c r="C288">
        <v>828</v>
      </c>
      <c r="D288" t="s">
        <v>437</v>
      </c>
      <c r="E288" t="s">
        <v>217</v>
      </c>
      <c r="F288">
        <v>-3.3000000000000002E-2</v>
      </c>
      <c r="G288">
        <v>-0.876</v>
      </c>
      <c r="H288">
        <v>8.3979999999999997</v>
      </c>
      <c r="I288">
        <v>3.56</v>
      </c>
      <c r="J288">
        <v>1.0999999999999999E-2</v>
      </c>
      <c r="K288">
        <v>-0.86799999999999999</v>
      </c>
      <c r="L288" s="2">
        <f t="shared" si="3"/>
        <v>-0.875637</v>
      </c>
      <c r="M288">
        <v>-7.0000000000000001E-3</v>
      </c>
      <c r="N288">
        <v>7.3999999999999996E-2</v>
      </c>
      <c r="P288">
        <v>-5.5E-2</v>
      </c>
      <c r="Q288">
        <v>0.01</v>
      </c>
      <c r="R288">
        <v>-1.7999999999999999E-2</v>
      </c>
      <c r="S288">
        <v>1.9E-2</v>
      </c>
      <c r="T288">
        <v>0.1</v>
      </c>
    </row>
    <row r="289" spans="1:20" x14ac:dyDescent="0.2">
      <c r="A289" t="s">
        <v>106</v>
      </c>
      <c r="B289" t="s">
        <v>435</v>
      </c>
      <c r="C289">
        <v>832</v>
      </c>
      <c r="D289" t="s">
        <v>438</v>
      </c>
      <c r="E289" t="s">
        <v>37</v>
      </c>
      <c r="F289">
        <v>17.100000000000001</v>
      </c>
      <c r="G289">
        <v>-0.40200000000000002</v>
      </c>
      <c r="H289">
        <v>37.381</v>
      </c>
      <c r="I289">
        <v>13.791</v>
      </c>
      <c r="J289">
        <v>1.0999999999999999E-2</v>
      </c>
      <c r="K289">
        <v>-0.86799999999999999</v>
      </c>
      <c r="L289" s="2">
        <f t="shared" si="3"/>
        <v>-0.59010000000000007</v>
      </c>
      <c r="M289">
        <v>0.27400000000000002</v>
      </c>
      <c r="N289">
        <v>0.35499999999999998</v>
      </c>
      <c r="O289">
        <v>0.35199999999999998</v>
      </c>
      <c r="P289">
        <v>-0.186</v>
      </c>
      <c r="Q289">
        <v>0.01</v>
      </c>
      <c r="R289">
        <v>-1.7999999999999999E-2</v>
      </c>
      <c r="S289">
        <v>0.315</v>
      </c>
      <c r="T289">
        <v>0.39600000000000002</v>
      </c>
    </row>
    <row r="290" spans="1:20" x14ac:dyDescent="0.2">
      <c r="A290" t="s">
        <v>118</v>
      </c>
      <c r="B290" t="s">
        <v>439</v>
      </c>
      <c r="C290">
        <v>833</v>
      </c>
      <c r="D290" t="s">
        <v>440</v>
      </c>
      <c r="E290" t="s">
        <v>360</v>
      </c>
      <c r="F290">
        <v>15.763</v>
      </c>
      <c r="G290">
        <v>0.159</v>
      </c>
      <c r="H290">
        <v>55.92</v>
      </c>
      <c r="I290">
        <v>19.969000000000001</v>
      </c>
      <c r="J290">
        <v>1.0999999999999999E-2</v>
      </c>
      <c r="K290">
        <v>-0.86799999999999999</v>
      </c>
      <c r="L290" s="2">
        <f t="shared" si="3"/>
        <v>-1.4392999999999989E-2</v>
      </c>
      <c r="M290">
        <v>0.83399999999999996</v>
      </c>
      <c r="N290">
        <v>0.91500000000000004</v>
      </c>
      <c r="P290">
        <v>-0.64200000000000002</v>
      </c>
      <c r="Q290">
        <v>0.01</v>
      </c>
      <c r="R290">
        <v>-1.7999999999999999E-2</v>
      </c>
      <c r="S290">
        <v>0.90600000000000003</v>
      </c>
      <c r="T290">
        <v>0.98699999999999999</v>
      </c>
    </row>
    <row r="291" spans="1:20" x14ac:dyDescent="0.2">
      <c r="A291" t="s">
        <v>106</v>
      </c>
      <c r="B291" t="s">
        <v>439</v>
      </c>
      <c r="C291">
        <v>837</v>
      </c>
      <c r="D291" t="s">
        <v>441</v>
      </c>
      <c r="E291" t="s">
        <v>6</v>
      </c>
      <c r="F291">
        <v>2.9750000000000001</v>
      </c>
      <c r="G291">
        <v>-0.253</v>
      </c>
      <c r="H291">
        <v>-2.2410000000000001</v>
      </c>
      <c r="I291">
        <v>-0.59499999999999997</v>
      </c>
      <c r="J291">
        <v>1.0999999999999999E-2</v>
      </c>
      <c r="K291">
        <v>-0.86899999999999999</v>
      </c>
      <c r="L291" s="2">
        <f t="shared" si="3"/>
        <v>-0.28572500000000001</v>
      </c>
      <c r="M291">
        <v>0.56699999999999995</v>
      </c>
      <c r="N291">
        <v>0.64800000000000002</v>
      </c>
      <c r="O291">
        <v>0.65</v>
      </c>
      <c r="P291">
        <v>-0.435</v>
      </c>
      <c r="Q291">
        <v>0.01</v>
      </c>
      <c r="R291">
        <v>-1.7999999999999999E-2</v>
      </c>
      <c r="S291">
        <v>0.625</v>
      </c>
      <c r="T291">
        <v>0.70599999999999996</v>
      </c>
    </row>
    <row r="292" spans="1:20" x14ac:dyDescent="0.2">
      <c r="A292" t="s">
        <v>2</v>
      </c>
      <c r="B292" t="s">
        <v>442</v>
      </c>
      <c r="C292">
        <v>838</v>
      </c>
      <c r="D292" t="s">
        <v>443</v>
      </c>
      <c r="E292" t="s">
        <v>212</v>
      </c>
      <c r="F292">
        <v>18.186</v>
      </c>
      <c r="G292">
        <v>0.222</v>
      </c>
      <c r="H292">
        <v>63.396000000000001</v>
      </c>
      <c r="I292">
        <v>22.428000000000001</v>
      </c>
      <c r="J292">
        <v>1.0999999999999999E-2</v>
      </c>
      <c r="K292">
        <v>-0.86899999999999999</v>
      </c>
      <c r="L292" s="2">
        <f t="shared" si="3"/>
        <v>2.1954000000000001E-2</v>
      </c>
      <c r="M292">
        <v>0.86799999999999999</v>
      </c>
      <c r="N292">
        <v>0.94899999999999995</v>
      </c>
      <c r="P292">
        <v>-0.94699999999999995</v>
      </c>
      <c r="Q292">
        <v>0.01</v>
      </c>
      <c r="R292">
        <v>-1.7999999999999999E-2</v>
      </c>
      <c r="S292">
        <v>0.94099999999999995</v>
      </c>
      <c r="T292">
        <v>1.0229999999999999</v>
      </c>
    </row>
    <row r="293" spans="1:20" x14ac:dyDescent="0.2">
      <c r="A293" t="s">
        <v>106</v>
      </c>
      <c r="B293" t="s">
        <v>442</v>
      </c>
      <c r="C293">
        <v>842</v>
      </c>
      <c r="D293" t="s">
        <v>444</v>
      </c>
      <c r="E293" t="s">
        <v>37</v>
      </c>
      <c r="F293">
        <v>17.100000000000001</v>
      </c>
      <c r="G293">
        <v>-0.39</v>
      </c>
      <c r="H293">
        <v>37.793999999999997</v>
      </c>
      <c r="I293">
        <v>14.214</v>
      </c>
      <c r="J293">
        <v>1.0999999999999999E-2</v>
      </c>
      <c r="K293">
        <v>-0.86899999999999999</v>
      </c>
      <c r="L293" s="2">
        <f t="shared" si="3"/>
        <v>-0.57810000000000006</v>
      </c>
      <c r="M293">
        <v>0.28299999999999997</v>
      </c>
      <c r="N293">
        <v>0.36399999999999999</v>
      </c>
      <c r="O293">
        <v>0.35199999999999998</v>
      </c>
      <c r="P293">
        <v>-2.7E-2</v>
      </c>
      <c r="Q293">
        <v>0.01</v>
      </c>
      <c r="R293">
        <v>-1.7999999999999999E-2</v>
      </c>
      <c r="S293">
        <v>0.32500000000000001</v>
      </c>
      <c r="T293">
        <v>0.40600000000000003</v>
      </c>
    </row>
    <row r="294" spans="1:20" x14ac:dyDescent="0.2">
      <c r="A294" t="s">
        <v>118</v>
      </c>
      <c r="B294" t="s">
        <v>442</v>
      </c>
      <c r="C294">
        <v>843</v>
      </c>
      <c r="D294" t="s">
        <v>445</v>
      </c>
      <c r="E294" t="s">
        <v>387</v>
      </c>
      <c r="F294">
        <v>-2.7650000000000001</v>
      </c>
      <c r="G294">
        <v>-4.3999999999999997E-2</v>
      </c>
      <c r="H294">
        <v>-2.1930000000000001</v>
      </c>
      <c r="I294">
        <v>-0.81499999999999995</v>
      </c>
      <c r="J294">
        <v>1.0999999999999999E-2</v>
      </c>
      <c r="K294">
        <v>-0.86899999999999999</v>
      </c>
      <c r="L294" s="2">
        <f t="shared" si="3"/>
        <v>-1.3584999999999996E-2</v>
      </c>
      <c r="M294">
        <v>0.83199999999999996</v>
      </c>
      <c r="N294">
        <v>0.91300000000000003</v>
      </c>
      <c r="P294">
        <v>-0.68</v>
      </c>
      <c r="Q294">
        <v>0.01</v>
      </c>
      <c r="R294">
        <v>-1.7999999999999999E-2</v>
      </c>
      <c r="S294">
        <v>0.90400000000000003</v>
      </c>
      <c r="T294">
        <v>0.98499999999999999</v>
      </c>
    </row>
    <row r="295" spans="1:20" s="1" customFormat="1" x14ac:dyDescent="0.2">
      <c r="A295" s="1" t="s">
        <v>102</v>
      </c>
      <c r="B295" s="1" t="s">
        <v>446</v>
      </c>
      <c r="C295" s="1">
        <v>844</v>
      </c>
      <c r="D295" s="1" t="s">
        <v>447</v>
      </c>
      <c r="E295" s="1" t="s">
        <v>448</v>
      </c>
      <c r="F295" s="1">
        <v>-1.9470000000000001</v>
      </c>
      <c r="G295" s="1">
        <v>-0.28899999999999998</v>
      </c>
      <c r="H295" s="1">
        <v>12.823</v>
      </c>
      <c r="I295" s="1">
        <v>5.0999999999999996</v>
      </c>
      <c r="J295" s="1">
        <v>1.0999999999999999E-2</v>
      </c>
      <c r="K295" s="1">
        <v>-0.86899999999999999</v>
      </c>
      <c r="L295" s="3">
        <f t="shared" si="3"/>
        <v>-0.26758299999999996</v>
      </c>
      <c r="M295" s="1">
        <v>0.58499999999999996</v>
      </c>
      <c r="N295" s="1">
        <v>0.66600000000000004</v>
      </c>
      <c r="P295" s="1">
        <v>-0.17299999999999999</v>
      </c>
      <c r="Q295" s="1">
        <v>0.01</v>
      </c>
      <c r="R295" s="1">
        <v>-1.7999999999999999E-2</v>
      </c>
      <c r="S295" s="1">
        <v>0.64400000000000002</v>
      </c>
      <c r="T295" s="1">
        <v>0.72499999999999998</v>
      </c>
    </row>
    <row r="296" spans="1:20" s="1" customFormat="1" x14ac:dyDescent="0.2">
      <c r="A296" s="1" t="s">
        <v>102</v>
      </c>
      <c r="B296" s="1" t="s">
        <v>446</v>
      </c>
      <c r="C296" s="1">
        <v>845</v>
      </c>
      <c r="D296" s="1" t="s">
        <v>449</v>
      </c>
      <c r="E296" s="1" t="s">
        <v>450</v>
      </c>
      <c r="F296" s="1">
        <v>-0.59499999999999997</v>
      </c>
      <c r="G296" s="1">
        <v>-0.28899999999999998</v>
      </c>
      <c r="H296" s="1">
        <v>14.143000000000001</v>
      </c>
      <c r="I296" s="1">
        <v>5.4370000000000003</v>
      </c>
      <c r="J296" s="1">
        <v>1.0999999999999999E-2</v>
      </c>
      <c r="K296" s="1">
        <v>-0.86899999999999999</v>
      </c>
      <c r="L296" s="3">
        <f t="shared" si="3"/>
        <v>-0.28245499999999996</v>
      </c>
      <c r="M296" s="1">
        <v>0.57099999999999995</v>
      </c>
      <c r="N296" s="1">
        <v>0.65200000000000002</v>
      </c>
      <c r="P296" s="1">
        <v>-0.317</v>
      </c>
      <c r="Q296" s="1">
        <v>0.01</v>
      </c>
      <c r="R296" s="1">
        <v>-1.7999999999999999E-2</v>
      </c>
      <c r="S296" s="1">
        <v>0.628</v>
      </c>
      <c r="T296" s="1">
        <v>0.70899999999999996</v>
      </c>
    </row>
    <row r="297" spans="1:20" s="1" customFormat="1" x14ac:dyDescent="0.2">
      <c r="A297" s="1" t="s">
        <v>102</v>
      </c>
      <c r="B297" s="1" t="s">
        <v>446</v>
      </c>
      <c r="C297" s="1">
        <v>846</v>
      </c>
      <c r="D297" s="1" t="s">
        <v>451</v>
      </c>
      <c r="E297" s="1" t="s">
        <v>448</v>
      </c>
      <c r="F297" s="1">
        <v>-1.9910000000000001</v>
      </c>
      <c r="G297" s="1">
        <v>-0.29799999999999999</v>
      </c>
      <c r="H297" s="1">
        <v>12.65</v>
      </c>
      <c r="I297" s="1">
        <v>5.0010000000000003</v>
      </c>
      <c r="J297" s="1">
        <v>1.0999999999999999E-2</v>
      </c>
      <c r="K297" s="1">
        <v>-0.86899999999999999</v>
      </c>
      <c r="L297" s="3">
        <f t="shared" si="3"/>
        <v>-0.27609899999999998</v>
      </c>
      <c r="M297" s="1">
        <v>0.57699999999999996</v>
      </c>
      <c r="N297" s="1">
        <v>0.65800000000000003</v>
      </c>
      <c r="P297" s="1">
        <v>-0.22</v>
      </c>
      <c r="Q297" s="1">
        <v>0.01</v>
      </c>
      <c r="R297" s="1">
        <v>-1.7999999999999999E-2</v>
      </c>
      <c r="S297" s="1">
        <v>0.63500000000000001</v>
      </c>
      <c r="T297" s="1">
        <v>0.71599999999999997</v>
      </c>
    </row>
    <row r="298" spans="1:20" s="1" customFormat="1" x14ac:dyDescent="0.2">
      <c r="A298" s="1" t="s">
        <v>102</v>
      </c>
      <c r="B298" s="1" t="s">
        <v>446</v>
      </c>
      <c r="C298" s="1">
        <v>847</v>
      </c>
      <c r="D298" s="1" t="s">
        <v>452</v>
      </c>
      <c r="E298" s="1" t="s">
        <v>448</v>
      </c>
      <c r="F298" s="1">
        <v>-1.9430000000000001</v>
      </c>
      <c r="G298" s="1">
        <v>-0.28599999999999998</v>
      </c>
      <c r="H298" s="1">
        <v>12.728999999999999</v>
      </c>
      <c r="I298" s="1">
        <v>5.0179999999999998</v>
      </c>
      <c r="J298" s="1">
        <v>1.0999999999999999E-2</v>
      </c>
      <c r="K298" s="1">
        <v>-0.86899999999999999</v>
      </c>
      <c r="L298" s="3">
        <f t="shared" si="3"/>
        <v>-0.264627</v>
      </c>
      <c r="M298" s="1">
        <v>0.58799999999999997</v>
      </c>
      <c r="N298" s="1">
        <v>0.66900000000000004</v>
      </c>
      <c r="P298" s="1">
        <v>-0.23599999999999999</v>
      </c>
      <c r="Q298" s="1">
        <v>0.01</v>
      </c>
      <c r="R298" s="1">
        <v>-1.7999999999999999E-2</v>
      </c>
      <c r="S298" s="1">
        <v>0.64700000000000002</v>
      </c>
      <c r="T298" s="1">
        <v>0.72799999999999998</v>
      </c>
    </row>
    <row r="299" spans="1:20" x14ac:dyDescent="0.2">
      <c r="A299" t="s">
        <v>2</v>
      </c>
      <c r="B299" t="s">
        <v>453</v>
      </c>
      <c r="C299">
        <v>848</v>
      </c>
      <c r="D299" t="s">
        <v>454</v>
      </c>
      <c r="E299" t="s">
        <v>455</v>
      </c>
      <c r="F299">
        <v>14.074999999999999</v>
      </c>
      <c r="G299">
        <v>-0.72499999999999998</v>
      </c>
      <c r="H299">
        <v>52.984999999999999</v>
      </c>
      <c r="I299">
        <v>20.044</v>
      </c>
      <c r="J299">
        <v>1.0999999999999999E-2</v>
      </c>
      <c r="K299">
        <v>-0.86899999999999999</v>
      </c>
      <c r="L299" s="2">
        <f t="shared" si="3"/>
        <v>-0.87982499999999997</v>
      </c>
      <c r="M299">
        <v>-1.2E-2</v>
      </c>
      <c r="N299">
        <v>6.9000000000000006E-2</v>
      </c>
      <c r="P299">
        <v>0.254</v>
      </c>
      <c r="Q299">
        <v>0.01</v>
      </c>
      <c r="R299">
        <v>-1.7999999999999999E-2</v>
      </c>
      <c r="S299">
        <v>1.4999999999999999E-2</v>
      </c>
      <c r="T299">
        <v>9.6000000000000002E-2</v>
      </c>
    </row>
    <row r="300" spans="1:20" x14ac:dyDescent="0.2">
      <c r="A300" t="s">
        <v>106</v>
      </c>
      <c r="B300" t="s">
        <v>453</v>
      </c>
      <c r="C300">
        <v>849</v>
      </c>
      <c r="D300" t="s">
        <v>456</v>
      </c>
      <c r="E300" t="s">
        <v>37</v>
      </c>
      <c r="F300">
        <v>17.056000000000001</v>
      </c>
      <c r="G300">
        <v>-0.378</v>
      </c>
      <c r="H300">
        <v>37.741999999999997</v>
      </c>
      <c r="I300">
        <v>14.224</v>
      </c>
      <c r="J300">
        <v>1.0999999999999999E-2</v>
      </c>
      <c r="K300">
        <v>-0.87</v>
      </c>
      <c r="L300" s="2">
        <f t="shared" si="3"/>
        <v>-0.56561600000000001</v>
      </c>
      <c r="M300">
        <v>0.29299999999999998</v>
      </c>
      <c r="N300">
        <v>0.374</v>
      </c>
      <c r="O300">
        <v>0.35199999999999998</v>
      </c>
      <c r="P300">
        <v>-7.4999999999999997E-2</v>
      </c>
      <c r="Q300">
        <v>0.01</v>
      </c>
      <c r="R300">
        <v>-1.7999999999999999E-2</v>
      </c>
      <c r="S300">
        <v>0.33600000000000002</v>
      </c>
      <c r="T300">
        <v>0.41699999999999998</v>
      </c>
    </row>
    <row r="301" spans="1:20" s="1" customFormat="1" x14ac:dyDescent="0.2">
      <c r="A301" s="1" t="s">
        <v>102</v>
      </c>
      <c r="B301" s="1" t="s">
        <v>453</v>
      </c>
      <c r="C301" s="1">
        <v>850</v>
      </c>
      <c r="D301" s="1" t="s">
        <v>457</v>
      </c>
      <c r="E301" s="1" t="s">
        <v>450</v>
      </c>
      <c r="F301" s="1">
        <v>-0.60099999999999998</v>
      </c>
      <c r="G301" s="1">
        <v>-0.27700000000000002</v>
      </c>
      <c r="H301" s="1">
        <v>14.156000000000001</v>
      </c>
      <c r="I301" s="1">
        <v>5.468</v>
      </c>
      <c r="J301" s="1">
        <v>1.0999999999999999E-2</v>
      </c>
      <c r="K301" s="1">
        <v>-0.87</v>
      </c>
      <c r="L301" s="3">
        <f t="shared" si="3"/>
        <v>-0.27038900000000005</v>
      </c>
      <c r="M301" s="1">
        <v>0.58299999999999996</v>
      </c>
      <c r="N301" s="1">
        <v>0.66400000000000003</v>
      </c>
      <c r="P301" s="1">
        <v>-0.317</v>
      </c>
      <c r="Q301" s="1">
        <v>0.01</v>
      </c>
      <c r="R301" s="1">
        <v>-1.7999999999999999E-2</v>
      </c>
      <c r="S301" s="1">
        <v>0.64100000000000001</v>
      </c>
      <c r="T301" s="1">
        <v>0.72199999999999998</v>
      </c>
    </row>
    <row r="302" spans="1:20" s="1" customFormat="1" x14ac:dyDescent="0.2">
      <c r="A302" s="1" t="s">
        <v>102</v>
      </c>
      <c r="B302" s="1" t="s">
        <v>458</v>
      </c>
      <c r="C302" s="1">
        <v>851</v>
      </c>
      <c r="D302" s="1" t="s">
        <v>459</v>
      </c>
      <c r="E302" s="1" t="s">
        <v>450</v>
      </c>
      <c r="F302" s="1">
        <v>-0.625</v>
      </c>
      <c r="G302" s="1">
        <v>-0.27700000000000002</v>
      </c>
      <c r="H302" s="1">
        <v>14.268000000000001</v>
      </c>
      <c r="I302" s="1">
        <v>5.5709999999999997</v>
      </c>
      <c r="J302" s="1">
        <v>1.0999999999999999E-2</v>
      </c>
      <c r="K302" s="1">
        <v>-0.87</v>
      </c>
      <c r="L302" s="3">
        <f t="shared" si="3"/>
        <v>-0.270125</v>
      </c>
      <c r="M302" s="1">
        <v>0.58299999999999996</v>
      </c>
      <c r="N302" s="1">
        <v>0.66400000000000003</v>
      </c>
      <c r="P302" s="1">
        <v>-0.26</v>
      </c>
      <c r="Q302" s="1">
        <v>0.01</v>
      </c>
      <c r="R302" s="1">
        <v>-1.7999999999999999E-2</v>
      </c>
      <c r="S302" s="1">
        <v>0.64100000000000001</v>
      </c>
      <c r="T302" s="1">
        <v>0.72199999999999998</v>
      </c>
    </row>
    <row r="303" spans="1:20" s="1" customFormat="1" x14ac:dyDescent="0.2">
      <c r="A303" s="1" t="s">
        <v>102</v>
      </c>
      <c r="B303" s="1" t="s">
        <v>458</v>
      </c>
      <c r="C303" s="1">
        <v>852</v>
      </c>
      <c r="D303" s="1" t="s">
        <v>460</v>
      </c>
      <c r="E303" s="1" t="s">
        <v>461</v>
      </c>
      <c r="F303" s="1">
        <v>-1.1830000000000001</v>
      </c>
      <c r="G303" s="1">
        <v>-0.28000000000000003</v>
      </c>
      <c r="H303" s="1">
        <v>14.085000000000001</v>
      </c>
      <c r="I303" s="1">
        <v>5.4749999999999996</v>
      </c>
      <c r="J303" s="1">
        <v>1.0999999999999999E-2</v>
      </c>
      <c r="K303" s="1">
        <v>-0.87</v>
      </c>
      <c r="L303" s="3">
        <f t="shared" si="3"/>
        <v>-0.26698700000000003</v>
      </c>
      <c r="M303" s="1">
        <v>0.58599999999999997</v>
      </c>
      <c r="N303" s="1">
        <v>0.66700000000000004</v>
      </c>
      <c r="P303" s="1">
        <v>-0.29499999999999998</v>
      </c>
      <c r="Q303" s="1">
        <v>0.01</v>
      </c>
      <c r="R303" s="1">
        <v>-1.7999999999999999E-2</v>
      </c>
      <c r="S303" s="1">
        <v>0.64500000000000002</v>
      </c>
      <c r="T303" s="1">
        <v>0.72599999999999998</v>
      </c>
    </row>
    <row r="304" spans="1:20" s="1" customFormat="1" x14ac:dyDescent="0.2">
      <c r="A304" s="1" t="s">
        <v>102</v>
      </c>
      <c r="B304" s="1" t="s">
        <v>458</v>
      </c>
      <c r="C304" s="1">
        <v>853</v>
      </c>
      <c r="D304" s="1" t="s">
        <v>462</v>
      </c>
      <c r="E304" s="1" t="s">
        <v>461</v>
      </c>
      <c r="F304" s="1">
        <v>-1.179</v>
      </c>
      <c r="G304" s="1">
        <v>-0.27700000000000002</v>
      </c>
      <c r="H304" s="1">
        <v>14.191000000000001</v>
      </c>
      <c r="I304" s="1">
        <v>5.5759999999999996</v>
      </c>
      <c r="J304" s="1">
        <v>1.0999999999999999E-2</v>
      </c>
      <c r="K304" s="1">
        <v>-0.87</v>
      </c>
      <c r="L304" s="3">
        <f t="shared" si="3"/>
        <v>-0.26403100000000002</v>
      </c>
      <c r="M304" s="1">
        <v>0.58899999999999997</v>
      </c>
      <c r="N304" s="1">
        <v>0.67</v>
      </c>
      <c r="P304" s="1">
        <v>-0.23699999999999999</v>
      </c>
      <c r="Q304" s="1">
        <v>0.01</v>
      </c>
      <c r="R304" s="1">
        <v>-1.7999999999999999E-2</v>
      </c>
      <c r="S304" s="1">
        <v>0.64800000000000002</v>
      </c>
      <c r="T304" s="1">
        <v>0.72899999999999998</v>
      </c>
    </row>
    <row r="305" spans="1:20" x14ac:dyDescent="0.2">
      <c r="A305" t="s">
        <v>2</v>
      </c>
      <c r="B305" t="s">
        <v>458</v>
      </c>
      <c r="C305">
        <v>854</v>
      </c>
      <c r="D305" t="s">
        <v>463</v>
      </c>
      <c r="E305" t="s">
        <v>217</v>
      </c>
      <c r="F305">
        <v>7.1999999999999995E-2</v>
      </c>
      <c r="G305">
        <v>-0.85899999999999999</v>
      </c>
      <c r="H305">
        <v>9.1039999999999992</v>
      </c>
      <c r="I305">
        <v>4.0170000000000003</v>
      </c>
      <c r="J305">
        <v>1.0999999999999999E-2</v>
      </c>
      <c r="K305">
        <v>-0.87</v>
      </c>
      <c r="L305" s="2">
        <f t="shared" si="3"/>
        <v>-0.859792</v>
      </c>
      <c r="M305">
        <v>0.01</v>
      </c>
      <c r="N305">
        <v>9.0999999999999998E-2</v>
      </c>
      <c r="P305">
        <v>4.1000000000000002E-2</v>
      </c>
      <c r="Q305">
        <v>1.0999999999999999E-2</v>
      </c>
      <c r="R305">
        <v>-1.7999999999999999E-2</v>
      </c>
      <c r="S305">
        <v>3.6999999999999998E-2</v>
      </c>
      <c r="T305">
        <v>0.11799999999999999</v>
      </c>
    </row>
    <row r="306" spans="1:20" s="1" customFormat="1" x14ac:dyDescent="0.2">
      <c r="A306" s="1" t="s">
        <v>102</v>
      </c>
      <c r="B306" s="1" t="s">
        <v>464</v>
      </c>
      <c r="C306" s="1">
        <v>855</v>
      </c>
      <c r="D306" s="1" t="s">
        <v>465</v>
      </c>
      <c r="E306" s="1" t="s">
        <v>466</v>
      </c>
      <c r="F306" s="1">
        <v>-3.867</v>
      </c>
      <c r="G306" s="1">
        <v>-0.32900000000000001</v>
      </c>
      <c r="H306" s="1">
        <v>8.4350000000000005</v>
      </c>
      <c r="I306" s="1">
        <v>3.4740000000000002</v>
      </c>
      <c r="J306" s="1">
        <v>1.0999999999999999E-2</v>
      </c>
      <c r="K306" s="1">
        <v>-0.87</v>
      </c>
      <c r="L306" s="3">
        <f t="shared" si="3"/>
        <v>-0.28646300000000002</v>
      </c>
      <c r="M306" s="1">
        <v>0.56799999999999995</v>
      </c>
      <c r="N306" s="1">
        <v>0.64900000000000002</v>
      </c>
      <c r="P306" s="1">
        <v>-0.26300000000000001</v>
      </c>
      <c r="Q306" s="1">
        <v>1.0999999999999999E-2</v>
      </c>
      <c r="R306" s="1">
        <v>-1.7999999999999999E-2</v>
      </c>
      <c r="S306" s="1">
        <v>0.625</v>
      </c>
      <c r="T306" s="1">
        <v>0.70599999999999996</v>
      </c>
    </row>
    <row r="307" spans="1:20" x14ac:dyDescent="0.2">
      <c r="A307" t="s">
        <v>106</v>
      </c>
      <c r="B307" t="s">
        <v>464</v>
      </c>
      <c r="C307">
        <v>856</v>
      </c>
      <c r="D307" t="s">
        <v>467</v>
      </c>
      <c r="E307" t="s">
        <v>37</v>
      </c>
      <c r="F307">
        <v>17.036000000000001</v>
      </c>
      <c r="G307">
        <v>-0.40500000000000003</v>
      </c>
      <c r="H307">
        <v>38.176000000000002</v>
      </c>
      <c r="I307">
        <v>14.654999999999999</v>
      </c>
      <c r="J307">
        <v>1.0999999999999999E-2</v>
      </c>
      <c r="K307">
        <v>-0.87</v>
      </c>
      <c r="L307" s="2">
        <f t="shared" si="3"/>
        <v>-0.59239600000000003</v>
      </c>
      <c r="M307">
        <v>0.26500000000000001</v>
      </c>
      <c r="N307">
        <v>0.34599999999999997</v>
      </c>
      <c r="O307">
        <v>0.35199999999999998</v>
      </c>
      <c r="P307">
        <v>0.127</v>
      </c>
      <c r="Q307">
        <v>1.0999999999999999E-2</v>
      </c>
      <c r="R307">
        <v>-1.7999999999999999E-2</v>
      </c>
      <c r="S307">
        <v>0.307</v>
      </c>
      <c r="T307">
        <v>0.38800000000000001</v>
      </c>
    </row>
    <row r="308" spans="1:20" s="1" customFormat="1" x14ac:dyDescent="0.2">
      <c r="A308" s="1" t="s">
        <v>102</v>
      </c>
      <c r="B308" s="1" t="s">
        <v>464</v>
      </c>
      <c r="C308" s="1">
        <v>857</v>
      </c>
      <c r="D308" s="1" t="s">
        <v>468</v>
      </c>
      <c r="E308" s="1" t="s">
        <v>461</v>
      </c>
      <c r="F308" s="1">
        <v>-1.159</v>
      </c>
      <c r="G308" s="1">
        <v>-0.3</v>
      </c>
      <c r="H308" s="1">
        <v>14.326000000000001</v>
      </c>
      <c r="I308" s="1">
        <v>5.6639999999999997</v>
      </c>
      <c r="J308" s="1">
        <v>1.0999999999999999E-2</v>
      </c>
      <c r="K308" s="1">
        <v>-0.87</v>
      </c>
      <c r="L308" s="3">
        <f t="shared" si="3"/>
        <v>-0.28725099999999998</v>
      </c>
      <c r="M308" s="1">
        <v>0.56699999999999995</v>
      </c>
      <c r="N308" s="1">
        <v>0.64800000000000002</v>
      </c>
      <c r="P308" s="1">
        <v>-0.219</v>
      </c>
      <c r="Q308" s="1">
        <v>1.0999999999999999E-2</v>
      </c>
      <c r="R308" s="1">
        <v>-1.7999999999999999E-2</v>
      </c>
      <c r="S308" s="1">
        <v>0.624</v>
      </c>
      <c r="T308" s="1">
        <v>0.70499999999999996</v>
      </c>
    </row>
    <row r="309" spans="1:20" s="1" customFormat="1" x14ac:dyDescent="0.2">
      <c r="A309" s="1" t="s">
        <v>102</v>
      </c>
      <c r="B309" s="1" t="s">
        <v>464</v>
      </c>
      <c r="C309" s="1">
        <v>858</v>
      </c>
      <c r="D309" s="1" t="s">
        <v>469</v>
      </c>
      <c r="E309" s="1" t="s">
        <v>466</v>
      </c>
      <c r="F309" s="1">
        <v>-3.9350000000000001</v>
      </c>
      <c r="G309" s="1">
        <v>-0.315</v>
      </c>
      <c r="H309" s="1">
        <v>8.2270000000000003</v>
      </c>
      <c r="I309" s="1">
        <v>3.351</v>
      </c>
      <c r="J309" s="1">
        <v>1.0999999999999999E-2</v>
      </c>
      <c r="K309" s="1">
        <v>-0.87</v>
      </c>
      <c r="L309" s="3">
        <f t="shared" si="3"/>
        <v>-0.27171499999999998</v>
      </c>
      <c r="M309" s="1">
        <v>0.58299999999999996</v>
      </c>
      <c r="N309" s="1">
        <v>0.66400000000000003</v>
      </c>
      <c r="P309" s="1">
        <v>-0.32300000000000001</v>
      </c>
      <c r="Q309" s="1">
        <v>1.0999999999999999E-2</v>
      </c>
      <c r="R309" s="1">
        <v>-1.7999999999999999E-2</v>
      </c>
      <c r="S309" s="1">
        <v>0.64100000000000001</v>
      </c>
      <c r="T309" s="1">
        <v>0.72199999999999998</v>
      </c>
    </row>
    <row r="310" spans="1:20" s="1" customFormat="1" x14ac:dyDescent="0.2">
      <c r="A310" s="1" t="s">
        <v>102</v>
      </c>
      <c r="B310" s="1" t="s">
        <v>464</v>
      </c>
      <c r="C310" s="1">
        <v>859</v>
      </c>
      <c r="D310" s="1" t="s">
        <v>470</v>
      </c>
      <c r="E310" s="1" t="s">
        <v>466</v>
      </c>
      <c r="F310" s="1">
        <v>-3.923</v>
      </c>
      <c r="G310" s="1">
        <v>-0.32500000000000001</v>
      </c>
      <c r="H310" s="1">
        <v>8.4</v>
      </c>
      <c r="I310" s="1">
        <v>3.484</v>
      </c>
      <c r="J310" s="1">
        <v>1.0999999999999999E-2</v>
      </c>
      <c r="K310" s="1">
        <v>-0.87</v>
      </c>
      <c r="L310" s="3">
        <f t="shared" si="3"/>
        <v>-0.28184700000000001</v>
      </c>
      <c r="M310" s="1">
        <v>0.57299999999999995</v>
      </c>
      <c r="N310" s="1">
        <v>0.65400000000000003</v>
      </c>
      <c r="P310" s="1">
        <v>-0.25700000000000001</v>
      </c>
      <c r="Q310" s="1">
        <v>1.0999999999999999E-2</v>
      </c>
      <c r="R310" s="1">
        <v>-1.7999999999999999E-2</v>
      </c>
      <c r="S310" s="1">
        <v>0.63100000000000001</v>
      </c>
      <c r="T310" s="1">
        <v>0.71199999999999997</v>
      </c>
    </row>
    <row r="311" spans="1:20" x14ac:dyDescent="0.2">
      <c r="A311" t="s">
        <v>118</v>
      </c>
      <c r="B311" t="s">
        <v>471</v>
      </c>
      <c r="C311">
        <v>860</v>
      </c>
      <c r="D311" t="s">
        <v>472</v>
      </c>
      <c r="E311" t="s">
        <v>360</v>
      </c>
      <c r="F311">
        <v>15.759</v>
      </c>
      <c r="G311">
        <v>0.14199999999999999</v>
      </c>
      <c r="H311">
        <v>57.396999999999998</v>
      </c>
      <c r="I311">
        <v>21.37</v>
      </c>
      <c r="J311">
        <v>1.0999999999999999E-2</v>
      </c>
      <c r="K311">
        <v>-0.87</v>
      </c>
      <c r="L311" s="2">
        <f t="shared" si="3"/>
        <v>-3.1349000000000016E-2</v>
      </c>
      <c r="M311">
        <v>0.81</v>
      </c>
      <c r="N311">
        <v>0.89100000000000001</v>
      </c>
      <c r="P311">
        <v>-0.183</v>
      </c>
      <c r="Q311">
        <v>1.0999999999999999E-2</v>
      </c>
      <c r="R311">
        <v>-1.7999999999999999E-2</v>
      </c>
      <c r="S311">
        <v>0.88</v>
      </c>
      <c r="T311">
        <v>0.96099999999999997</v>
      </c>
    </row>
    <row r="312" spans="1:20" x14ac:dyDescent="0.2">
      <c r="A312" t="s">
        <v>106</v>
      </c>
      <c r="B312" t="s">
        <v>471</v>
      </c>
      <c r="C312">
        <v>861</v>
      </c>
      <c r="D312" t="s">
        <v>473</v>
      </c>
      <c r="E312" t="s">
        <v>6</v>
      </c>
      <c r="F312">
        <v>2.9969999999999999</v>
      </c>
      <c r="G312">
        <v>-0.254</v>
      </c>
      <c r="H312">
        <v>-2.42</v>
      </c>
      <c r="I312">
        <v>-0.81399999999999995</v>
      </c>
      <c r="J312">
        <v>1.0999999999999999E-2</v>
      </c>
      <c r="K312">
        <v>-0.87</v>
      </c>
      <c r="L312" s="2">
        <f t="shared" si="3"/>
        <v>-0.28696699999999997</v>
      </c>
      <c r="M312">
        <v>0.56599999999999995</v>
      </c>
      <c r="N312">
        <v>0.64700000000000002</v>
      </c>
      <c r="O312">
        <v>0.65</v>
      </c>
      <c r="P312">
        <v>-0.628</v>
      </c>
      <c r="Q312">
        <v>1.0999999999999999E-2</v>
      </c>
      <c r="R312">
        <v>-1.7999999999999999E-2</v>
      </c>
      <c r="S312">
        <v>0.623</v>
      </c>
      <c r="T312">
        <v>0.70399999999999996</v>
      </c>
    </row>
    <row r="313" spans="1:20" x14ac:dyDescent="0.2">
      <c r="A313" t="s">
        <v>118</v>
      </c>
      <c r="B313" t="s">
        <v>474</v>
      </c>
      <c r="C313">
        <v>865</v>
      </c>
      <c r="D313" t="s">
        <v>475</v>
      </c>
      <c r="E313" t="s">
        <v>387</v>
      </c>
      <c r="F313">
        <v>-2.8660000000000001</v>
      </c>
      <c r="G313">
        <v>-3.9E-2</v>
      </c>
      <c r="H313">
        <v>-2.633</v>
      </c>
      <c r="I313">
        <v>-1.0640000000000001</v>
      </c>
      <c r="J313">
        <v>1.0999999999999999E-2</v>
      </c>
      <c r="K313">
        <v>-0.871</v>
      </c>
      <c r="L313" s="2">
        <f t="shared" si="3"/>
        <v>-7.4740000000000015E-3</v>
      </c>
      <c r="M313">
        <v>0.83899999999999997</v>
      </c>
      <c r="N313">
        <v>0.92</v>
      </c>
      <c r="P313">
        <v>-0.80800000000000005</v>
      </c>
      <c r="Q313">
        <v>1.0999999999999999E-2</v>
      </c>
      <c r="R313">
        <v>-1.7999999999999999E-2</v>
      </c>
      <c r="S313">
        <v>0.91100000000000003</v>
      </c>
      <c r="T313">
        <v>0.99199999999999999</v>
      </c>
    </row>
    <row r="314" spans="1:20" x14ac:dyDescent="0.2">
      <c r="A314" t="s">
        <v>106</v>
      </c>
      <c r="B314" t="s">
        <v>474</v>
      </c>
      <c r="C314">
        <v>866</v>
      </c>
      <c r="D314" t="s">
        <v>476</v>
      </c>
      <c r="E314" t="s">
        <v>12</v>
      </c>
      <c r="F314">
        <v>17.57</v>
      </c>
      <c r="G314">
        <v>-0.39400000000000002</v>
      </c>
      <c r="H314">
        <v>39.307000000000002</v>
      </c>
      <c r="I314">
        <v>14.975</v>
      </c>
      <c r="J314">
        <v>1.0999999999999999E-2</v>
      </c>
      <c r="K314">
        <v>-0.871</v>
      </c>
      <c r="L314" s="2">
        <f t="shared" si="3"/>
        <v>-0.58726999999999996</v>
      </c>
      <c r="M314">
        <v>0.26800000000000002</v>
      </c>
      <c r="N314">
        <v>0.34899999999999998</v>
      </c>
      <c r="O314">
        <v>0.35199999999999998</v>
      </c>
      <c r="P314">
        <v>-0.06</v>
      </c>
      <c r="Q314">
        <v>1.0999999999999999E-2</v>
      </c>
      <c r="R314">
        <v>-1.7999999999999999E-2</v>
      </c>
      <c r="S314">
        <v>0.309</v>
      </c>
      <c r="T314">
        <v>0.39</v>
      </c>
    </row>
    <row r="315" spans="1:20" x14ac:dyDescent="0.2">
      <c r="A315" t="s">
        <v>2</v>
      </c>
      <c r="B315" t="s">
        <v>474</v>
      </c>
      <c r="C315">
        <v>869</v>
      </c>
      <c r="D315" t="s">
        <v>477</v>
      </c>
      <c r="E315" t="s">
        <v>217</v>
      </c>
      <c r="F315">
        <v>0.378</v>
      </c>
      <c r="G315">
        <v>-0.88300000000000001</v>
      </c>
      <c r="H315">
        <v>9.0660000000000007</v>
      </c>
      <c r="I315">
        <v>4.0949999999999998</v>
      </c>
      <c r="J315">
        <v>1.0999999999999999E-2</v>
      </c>
      <c r="K315">
        <v>-0.871</v>
      </c>
      <c r="L315" s="2">
        <f t="shared" si="3"/>
        <v>-0.887158</v>
      </c>
      <c r="M315">
        <v>-1.6E-2</v>
      </c>
      <c r="N315">
        <v>6.5000000000000002E-2</v>
      </c>
      <c r="P315">
        <v>7.1999999999999995E-2</v>
      </c>
      <c r="Q315">
        <v>1.0999999999999999E-2</v>
      </c>
      <c r="R315">
        <v>-1.7999999999999999E-2</v>
      </c>
      <c r="S315">
        <v>0.01</v>
      </c>
      <c r="T315">
        <v>9.0999999999999998E-2</v>
      </c>
    </row>
    <row r="316" spans="1:20" x14ac:dyDescent="0.2">
      <c r="A316" t="s">
        <v>106</v>
      </c>
      <c r="B316" t="s">
        <v>478</v>
      </c>
      <c r="C316">
        <v>872</v>
      </c>
      <c r="D316" t="s">
        <v>479</v>
      </c>
      <c r="E316" t="s">
        <v>6</v>
      </c>
      <c r="F316">
        <v>2.9860000000000002</v>
      </c>
      <c r="G316">
        <v>-0.26900000000000002</v>
      </c>
      <c r="H316">
        <v>-2.375</v>
      </c>
      <c r="I316">
        <v>-0.66</v>
      </c>
      <c r="J316">
        <v>1.2E-2</v>
      </c>
      <c r="K316">
        <v>-0.871</v>
      </c>
      <c r="L316" s="2">
        <f t="shared" si="3"/>
        <v>-0.30483199999999999</v>
      </c>
      <c r="M316">
        <v>0.55100000000000005</v>
      </c>
      <c r="N316">
        <v>0.63200000000000001</v>
      </c>
      <c r="O316">
        <v>0.65</v>
      </c>
      <c r="P316">
        <v>-0.51400000000000001</v>
      </c>
      <c r="Q316">
        <v>1.0999999999999999E-2</v>
      </c>
      <c r="R316">
        <v>-1.7999999999999999E-2</v>
      </c>
      <c r="S316">
        <v>0.60699999999999998</v>
      </c>
      <c r="T316">
        <v>0.68799999999999994</v>
      </c>
    </row>
    <row r="317" spans="1:20" x14ac:dyDescent="0.2">
      <c r="A317" t="s">
        <v>2</v>
      </c>
      <c r="B317" t="s">
        <v>478</v>
      </c>
      <c r="C317">
        <v>876</v>
      </c>
      <c r="D317" t="s">
        <v>480</v>
      </c>
      <c r="E317" t="s">
        <v>481</v>
      </c>
      <c r="F317">
        <v>15.183</v>
      </c>
      <c r="G317">
        <v>-0.69799999999999995</v>
      </c>
      <c r="H317">
        <v>57.039000000000001</v>
      </c>
      <c r="I317">
        <v>21.606999999999999</v>
      </c>
      <c r="J317">
        <v>1.2E-2</v>
      </c>
      <c r="K317">
        <v>-0.871</v>
      </c>
      <c r="L317" s="2">
        <f t="shared" si="3"/>
        <v>-0.88019599999999998</v>
      </c>
      <c r="M317">
        <v>-3.0000000000000001E-3</v>
      </c>
      <c r="N317">
        <v>7.8E-2</v>
      </c>
      <c r="P317">
        <v>-8.0000000000000002E-3</v>
      </c>
      <c r="Q317">
        <v>1.0999999999999999E-2</v>
      </c>
      <c r="R317">
        <v>-1.7999999999999999E-2</v>
      </c>
      <c r="S317">
        <v>2.4E-2</v>
      </c>
      <c r="T317">
        <v>0.105</v>
      </c>
    </row>
    <row r="318" spans="1:20" x14ac:dyDescent="0.2">
      <c r="A318" t="s">
        <v>106</v>
      </c>
      <c r="B318" t="s">
        <v>482</v>
      </c>
      <c r="C318">
        <v>878</v>
      </c>
      <c r="D318" t="s">
        <v>483</v>
      </c>
      <c r="E318" t="s">
        <v>12</v>
      </c>
      <c r="F318">
        <v>17.614999999999998</v>
      </c>
      <c r="G318">
        <v>-0.38</v>
      </c>
      <c r="H318">
        <v>39.295000000000002</v>
      </c>
      <c r="I318">
        <v>14.92</v>
      </c>
      <c r="J318">
        <v>1.2E-2</v>
      </c>
      <c r="K318">
        <v>-0.872</v>
      </c>
      <c r="L318" s="2">
        <f t="shared" si="3"/>
        <v>-0.59138000000000002</v>
      </c>
      <c r="M318">
        <v>0.27800000000000002</v>
      </c>
      <c r="N318">
        <v>0.35899999999999999</v>
      </c>
      <c r="O318">
        <v>0.35199999999999998</v>
      </c>
      <c r="P318">
        <v>-0.215</v>
      </c>
      <c r="Q318">
        <v>1.0999999999999999E-2</v>
      </c>
      <c r="R318">
        <v>-1.7999999999999999E-2</v>
      </c>
      <c r="S318">
        <v>0.32</v>
      </c>
      <c r="T318">
        <v>0.40100000000000002</v>
      </c>
    </row>
    <row r="319" spans="1:20" x14ac:dyDescent="0.2">
      <c r="A319" t="s">
        <v>118</v>
      </c>
      <c r="B319" t="s">
        <v>484</v>
      </c>
      <c r="C319">
        <v>881</v>
      </c>
      <c r="D319" t="s">
        <v>485</v>
      </c>
      <c r="E319" t="s">
        <v>360</v>
      </c>
      <c r="F319">
        <v>15.666</v>
      </c>
      <c r="G319">
        <v>0.14599999999999999</v>
      </c>
      <c r="H319">
        <v>56.634</v>
      </c>
      <c r="I319">
        <v>20.852</v>
      </c>
      <c r="J319">
        <v>1.2E-2</v>
      </c>
      <c r="K319">
        <v>-0.872</v>
      </c>
      <c r="L319" s="2">
        <f t="shared" si="3"/>
        <v>-4.1992000000000029E-2</v>
      </c>
      <c r="M319">
        <v>0.80900000000000005</v>
      </c>
      <c r="N319">
        <v>0.89</v>
      </c>
      <c r="P319">
        <v>-0.66600000000000004</v>
      </c>
      <c r="Q319">
        <v>1.0999999999999999E-2</v>
      </c>
      <c r="R319">
        <v>-1.7000000000000001E-2</v>
      </c>
      <c r="S319">
        <v>0.879</v>
      </c>
      <c r="T319">
        <v>0.96</v>
      </c>
    </row>
    <row r="320" spans="1:20" x14ac:dyDescent="0.2">
      <c r="A320" t="s">
        <v>106</v>
      </c>
      <c r="B320" t="s">
        <v>484</v>
      </c>
      <c r="C320">
        <v>884</v>
      </c>
      <c r="D320" t="s">
        <v>486</v>
      </c>
      <c r="E320" t="s">
        <v>6</v>
      </c>
      <c r="F320">
        <v>2.9580000000000002</v>
      </c>
      <c r="G320">
        <v>-0.28399999999999997</v>
      </c>
      <c r="H320">
        <v>-2.5329999999999999</v>
      </c>
      <c r="I320">
        <v>-0.76900000000000002</v>
      </c>
      <c r="J320">
        <v>1.2E-2</v>
      </c>
      <c r="K320">
        <v>-0.872</v>
      </c>
      <c r="L320" s="2">
        <f t="shared" si="3"/>
        <v>-0.319496</v>
      </c>
      <c r="M320">
        <v>0.53600000000000003</v>
      </c>
      <c r="N320">
        <v>0.61699999999999999</v>
      </c>
      <c r="O320">
        <v>0.65</v>
      </c>
      <c r="P320">
        <v>-0.59499999999999997</v>
      </c>
      <c r="Q320">
        <v>1.0999999999999999E-2</v>
      </c>
      <c r="R320">
        <v>-1.7000000000000001E-2</v>
      </c>
      <c r="S320">
        <v>0.59099999999999997</v>
      </c>
      <c r="T320">
        <v>0.67200000000000004</v>
      </c>
    </row>
    <row r="321" spans="1:20" x14ac:dyDescent="0.2">
      <c r="A321" t="s">
        <v>118</v>
      </c>
      <c r="B321" t="s">
        <v>487</v>
      </c>
      <c r="C321">
        <v>886</v>
      </c>
      <c r="D321" t="s">
        <v>488</v>
      </c>
      <c r="E321" t="s">
        <v>387</v>
      </c>
      <c r="F321">
        <v>-3.0990000000000002</v>
      </c>
      <c r="G321">
        <v>-3.7999999999999999E-2</v>
      </c>
      <c r="H321">
        <v>-3.03</v>
      </c>
      <c r="I321">
        <v>-0.99</v>
      </c>
      <c r="J321">
        <v>1.2E-2</v>
      </c>
      <c r="K321">
        <v>-0.872</v>
      </c>
      <c r="L321" s="2">
        <f t="shared" si="3"/>
        <v>-8.1199999999999328E-4</v>
      </c>
      <c r="M321">
        <v>0.84399999999999997</v>
      </c>
      <c r="N321">
        <v>0.92500000000000004</v>
      </c>
      <c r="P321">
        <v>-0.63900000000000001</v>
      </c>
      <c r="Q321">
        <v>1.0999999999999999E-2</v>
      </c>
      <c r="R321">
        <v>-1.7000000000000001E-2</v>
      </c>
      <c r="S321">
        <v>0.91500000000000004</v>
      </c>
      <c r="T321">
        <v>0.996</v>
      </c>
    </row>
    <row r="322" spans="1:20" x14ac:dyDescent="0.2">
      <c r="A322" t="s">
        <v>106</v>
      </c>
      <c r="B322" t="s">
        <v>487</v>
      </c>
      <c r="C322">
        <v>889</v>
      </c>
      <c r="D322" t="s">
        <v>489</v>
      </c>
      <c r="E322" t="s">
        <v>12</v>
      </c>
      <c r="F322">
        <v>17.628</v>
      </c>
      <c r="G322">
        <v>-0.36799999999999999</v>
      </c>
      <c r="H322">
        <v>39.222999999999999</v>
      </c>
      <c r="I322">
        <v>14.843</v>
      </c>
      <c r="J322">
        <v>1.2E-2</v>
      </c>
      <c r="K322">
        <v>-0.872</v>
      </c>
      <c r="L322" s="2">
        <f t="shared" si="3"/>
        <v>-0.57953600000000005</v>
      </c>
      <c r="M322">
        <v>0.28699999999999998</v>
      </c>
      <c r="N322">
        <v>0.36799999999999999</v>
      </c>
      <c r="O322">
        <v>0.35199999999999998</v>
      </c>
      <c r="P322">
        <v>-0.34899999999999998</v>
      </c>
      <c r="Q322">
        <v>1.0999999999999999E-2</v>
      </c>
      <c r="R322">
        <v>-1.7000000000000001E-2</v>
      </c>
      <c r="S322">
        <v>0.32900000000000001</v>
      </c>
      <c r="T322">
        <v>0.41</v>
      </c>
    </row>
    <row r="323" spans="1:20" x14ac:dyDescent="0.2">
      <c r="A323" t="s">
        <v>2</v>
      </c>
      <c r="B323" t="s">
        <v>490</v>
      </c>
      <c r="C323">
        <v>891</v>
      </c>
      <c r="D323" t="s">
        <v>491</v>
      </c>
      <c r="E323" t="s">
        <v>217</v>
      </c>
      <c r="F323">
        <v>9.1999999999999998E-2</v>
      </c>
      <c r="G323">
        <v>-0.86499999999999999</v>
      </c>
      <c r="H323">
        <v>8.9269999999999996</v>
      </c>
      <c r="I323">
        <v>3.9460000000000002</v>
      </c>
      <c r="J323">
        <v>1.2E-2</v>
      </c>
      <c r="K323">
        <v>-0.872</v>
      </c>
      <c r="L323" s="2">
        <f t="shared" si="3"/>
        <v>-0.86610399999999998</v>
      </c>
      <c r="M323">
        <v>6.0000000000000001E-3</v>
      </c>
      <c r="N323">
        <v>8.6999999999999994E-2</v>
      </c>
      <c r="P323">
        <v>-0.115</v>
      </c>
      <c r="Q323">
        <v>1.0999999999999999E-2</v>
      </c>
      <c r="R323">
        <v>-1.7000000000000001E-2</v>
      </c>
      <c r="S323">
        <v>3.4000000000000002E-2</v>
      </c>
      <c r="T323">
        <v>0.115</v>
      </c>
    </row>
    <row r="324" spans="1:20" x14ac:dyDescent="0.2">
      <c r="A324" t="s">
        <v>106</v>
      </c>
      <c r="B324" t="s">
        <v>492</v>
      </c>
      <c r="C324">
        <v>895</v>
      </c>
      <c r="D324" t="s">
        <v>493</v>
      </c>
      <c r="E324" t="s">
        <v>6</v>
      </c>
      <c r="F324">
        <v>3.0489999999999999</v>
      </c>
      <c r="G324">
        <v>-0.25900000000000001</v>
      </c>
      <c r="H324">
        <v>-2.06</v>
      </c>
      <c r="I324">
        <v>-0.58599999999999997</v>
      </c>
      <c r="J324">
        <v>1.2E-2</v>
      </c>
      <c r="K324">
        <v>-0.873</v>
      </c>
      <c r="L324" s="2">
        <f t="shared" si="3"/>
        <v>-0.29558800000000002</v>
      </c>
      <c r="M324">
        <v>0.55900000000000005</v>
      </c>
      <c r="N324">
        <v>0.64</v>
      </c>
      <c r="O324">
        <v>0.65</v>
      </c>
      <c r="P324">
        <v>-0.61699999999999999</v>
      </c>
      <c r="Q324">
        <v>1.0999999999999999E-2</v>
      </c>
      <c r="R324">
        <v>-1.6E-2</v>
      </c>
      <c r="S324">
        <v>0.61499999999999999</v>
      </c>
      <c r="T324">
        <v>0.69599999999999995</v>
      </c>
    </row>
    <row r="325" spans="1:20" s="1" customFormat="1" x14ac:dyDescent="0.2">
      <c r="A325" s="1" t="s">
        <v>102</v>
      </c>
      <c r="B325" s="1" t="s">
        <v>492</v>
      </c>
      <c r="C325" s="1">
        <v>896</v>
      </c>
      <c r="D325" s="1" t="s">
        <v>494</v>
      </c>
      <c r="E325" s="1" t="s">
        <v>495</v>
      </c>
      <c r="F325" s="1">
        <v>1.7430000000000001</v>
      </c>
      <c r="G325" s="1">
        <v>-0.222</v>
      </c>
      <c r="H325" s="1">
        <v>14.961</v>
      </c>
      <c r="I325" s="1">
        <v>5.8220000000000001</v>
      </c>
      <c r="J325" s="1">
        <v>1.2E-2</v>
      </c>
      <c r="K325" s="1">
        <v>-0.873</v>
      </c>
      <c r="L325" s="3">
        <f t="shared" si="3"/>
        <v>-0.24291599999999999</v>
      </c>
      <c r="M325" s="1">
        <v>0.61</v>
      </c>
      <c r="N325" s="1">
        <v>0.69099999999999995</v>
      </c>
      <c r="P325" s="1">
        <v>-0.48099999999999998</v>
      </c>
      <c r="Q325" s="1">
        <v>1.0999999999999999E-2</v>
      </c>
      <c r="R325" s="1">
        <v>-1.6E-2</v>
      </c>
      <c r="S325" s="1">
        <v>0.66800000000000004</v>
      </c>
      <c r="T325" s="1">
        <v>0.749</v>
      </c>
    </row>
    <row r="326" spans="1:20" s="1" customFormat="1" x14ac:dyDescent="0.2">
      <c r="A326" s="1" t="s">
        <v>102</v>
      </c>
      <c r="B326" s="1" t="s">
        <v>492</v>
      </c>
      <c r="C326" s="1">
        <v>897</v>
      </c>
      <c r="D326" s="1" t="s">
        <v>496</v>
      </c>
      <c r="E326" s="1" t="s">
        <v>497</v>
      </c>
      <c r="F326" s="1">
        <v>1.901</v>
      </c>
      <c r="G326" s="1">
        <v>-0.19900000000000001</v>
      </c>
      <c r="H326" s="1">
        <v>14.397</v>
      </c>
      <c r="I326" s="1">
        <v>5.5570000000000004</v>
      </c>
      <c r="J326" s="1">
        <v>1.2E-2</v>
      </c>
      <c r="K326" s="1">
        <v>-0.873</v>
      </c>
      <c r="L326" s="3">
        <f t="shared" si="3"/>
        <v>-0.22181200000000001</v>
      </c>
      <c r="M326" s="1">
        <v>0.63100000000000001</v>
      </c>
      <c r="N326" s="1">
        <v>0.71199999999999997</v>
      </c>
      <c r="P326" s="1">
        <v>-0.54300000000000004</v>
      </c>
      <c r="Q326" s="1">
        <v>1.0999999999999999E-2</v>
      </c>
      <c r="R326" s="1">
        <v>-1.6E-2</v>
      </c>
      <c r="S326" s="1">
        <v>0.69</v>
      </c>
      <c r="T326" s="1">
        <v>0.77100000000000002</v>
      </c>
    </row>
    <row r="327" spans="1:20" x14ac:dyDescent="0.2">
      <c r="A327" t="s">
        <v>106</v>
      </c>
      <c r="B327" t="s">
        <v>498</v>
      </c>
      <c r="C327">
        <v>898</v>
      </c>
      <c r="D327" t="s">
        <v>499</v>
      </c>
      <c r="E327" t="s">
        <v>6</v>
      </c>
      <c r="F327">
        <v>2.9590000000000001</v>
      </c>
      <c r="G327">
        <v>-0.25600000000000001</v>
      </c>
      <c r="H327">
        <v>-2.5270000000000001</v>
      </c>
      <c r="I327">
        <v>-0.73199999999999998</v>
      </c>
      <c r="J327">
        <v>1.2E-2</v>
      </c>
      <c r="K327">
        <v>-0.873</v>
      </c>
      <c r="L327" s="2">
        <f t="shared" ref="L327:L353" si="4">G327-F327*J327</f>
        <v>-0.29150799999999999</v>
      </c>
      <c r="M327">
        <v>0.56299999999999994</v>
      </c>
      <c r="N327">
        <v>0.64400000000000002</v>
      </c>
      <c r="O327">
        <v>0.65</v>
      </c>
      <c r="P327">
        <v>-0.6</v>
      </c>
      <c r="Q327">
        <v>1.0999999999999999E-2</v>
      </c>
      <c r="R327">
        <v>-1.6E-2</v>
      </c>
      <c r="S327">
        <v>0.61899999999999999</v>
      </c>
      <c r="T327">
        <v>0.7</v>
      </c>
    </row>
    <row r="328" spans="1:20" s="1" customFormat="1" x14ac:dyDescent="0.2">
      <c r="A328" s="1" t="s">
        <v>102</v>
      </c>
      <c r="B328" s="1" t="s">
        <v>498</v>
      </c>
      <c r="C328" s="1">
        <v>899</v>
      </c>
      <c r="D328" s="1" t="s">
        <v>500</v>
      </c>
      <c r="E328" s="1" t="s">
        <v>501</v>
      </c>
      <c r="F328" s="1">
        <v>0.746</v>
      </c>
      <c r="G328" s="1">
        <v>-0.25</v>
      </c>
      <c r="H328" s="1">
        <v>14.404</v>
      </c>
      <c r="I328" s="1">
        <v>5.5620000000000003</v>
      </c>
      <c r="J328" s="1">
        <v>1.2E-2</v>
      </c>
      <c r="K328" s="1">
        <v>-0.873</v>
      </c>
      <c r="L328" s="3">
        <f t="shared" si="4"/>
        <v>-0.25895200000000002</v>
      </c>
      <c r="M328" s="1">
        <v>0.59499999999999997</v>
      </c>
      <c r="N328" s="1">
        <v>0.67600000000000005</v>
      </c>
      <c r="P328" s="1">
        <v>-0.54900000000000004</v>
      </c>
      <c r="Q328" s="1">
        <v>1.0999999999999999E-2</v>
      </c>
      <c r="R328" s="1">
        <v>-1.6E-2</v>
      </c>
      <c r="S328" s="1">
        <v>0.65200000000000002</v>
      </c>
      <c r="T328" s="1">
        <v>0.73299999999999998</v>
      </c>
    </row>
    <row r="329" spans="1:20" x14ac:dyDescent="0.2">
      <c r="A329" t="s">
        <v>2</v>
      </c>
      <c r="B329" t="s">
        <v>498</v>
      </c>
      <c r="C329">
        <v>900</v>
      </c>
      <c r="D329" t="s">
        <v>502</v>
      </c>
      <c r="E329" t="s">
        <v>212</v>
      </c>
      <c r="F329">
        <v>14.186999999999999</v>
      </c>
      <c r="G329">
        <v>-0.70299999999999996</v>
      </c>
      <c r="H329">
        <v>54.015999999999998</v>
      </c>
      <c r="I329">
        <v>20.376999999999999</v>
      </c>
      <c r="J329">
        <v>1.2E-2</v>
      </c>
      <c r="K329">
        <v>-0.873</v>
      </c>
      <c r="L329" s="2">
        <f t="shared" si="4"/>
        <v>-0.87324399999999991</v>
      </c>
      <c r="M329">
        <v>0</v>
      </c>
      <c r="N329">
        <v>8.1000000000000003E-2</v>
      </c>
      <c r="P329">
        <v>-0.33800000000000002</v>
      </c>
      <c r="Q329">
        <v>1.0999999999999999E-2</v>
      </c>
      <c r="R329">
        <v>-1.6E-2</v>
      </c>
      <c r="S329">
        <v>2.7E-2</v>
      </c>
      <c r="T329">
        <v>0.108</v>
      </c>
    </row>
    <row r="330" spans="1:20" s="1" customFormat="1" x14ac:dyDescent="0.2">
      <c r="A330" s="1" t="s">
        <v>102</v>
      </c>
      <c r="B330" s="1" t="s">
        <v>498</v>
      </c>
      <c r="C330" s="1">
        <v>901</v>
      </c>
      <c r="D330" s="1" t="s">
        <v>503</v>
      </c>
      <c r="E330" s="1" t="s">
        <v>504</v>
      </c>
      <c r="F330" s="1">
        <v>1.587</v>
      </c>
      <c r="G330" s="1">
        <v>-0.24</v>
      </c>
      <c r="H330" s="1">
        <v>15.541</v>
      </c>
      <c r="I330" s="1">
        <v>6.0259999999999998</v>
      </c>
      <c r="J330" s="1">
        <v>1.2E-2</v>
      </c>
      <c r="K330" s="1">
        <v>-0.873</v>
      </c>
      <c r="L330" s="3">
        <f t="shared" si="4"/>
        <v>-0.259044</v>
      </c>
      <c r="M330" s="1">
        <v>0.59499999999999997</v>
      </c>
      <c r="N330" s="1">
        <v>0.67600000000000005</v>
      </c>
      <c r="P330" s="1">
        <v>-0.51300000000000001</v>
      </c>
      <c r="Q330" s="1">
        <v>1.0999999999999999E-2</v>
      </c>
      <c r="R330" s="1">
        <v>-1.6E-2</v>
      </c>
      <c r="S330" s="1">
        <v>0.65200000000000002</v>
      </c>
      <c r="T330" s="1">
        <v>0.73299999999999998</v>
      </c>
    </row>
    <row r="331" spans="1:20" s="1" customFormat="1" x14ac:dyDescent="0.2">
      <c r="A331" s="1" t="s">
        <v>102</v>
      </c>
      <c r="B331" s="1" t="s">
        <v>498</v>
      </c>
      <c r="C331" s="1">
        <v>902</v>
      </c>
      <c r="D331" s="1" t="s">
        <v>505</v>
      </c>
      <c r="E331" s="1" t="s">
        <v>495</v>
      </c>
      <c r="F331" s="1">
        <v>1.851</v>
      </c>
      <c r="G331" s="1">
        <v>-0.25</v>
      </c>
      <c r="H331" s="1">
        <v>15.545</v>
      </c>
      <c r="I331" s="1">
        <v>6.0819999999999999</v>
      </c>
      <c r="J331" s="1">
        <v>1.2E-2</v>
      </c>
      <c r="K331" s="1">
        <v>-0.873</v>
      </c>
      <c r="L331" s="3">
        <f t="shared" si="4"/>
        <v>-0.27221200000000001</v>
      </c>
      <c r="M331" s="1">
        <v>0.58199999999999996</v>
      </c>
      <c r="N331" s="1">
        <v>0.66300000000000003</v>
      </c>
      <c r="P331" s="1">
        <v>-0.46200000000000002</v>
      </c>
      <c r="Q331" s="1">
        <v>1.0999999999999999E-2</v>
      </c>
      <c r="R331" s="1">
        <v>-1.6E-2</v>
      </c>
      <c r="S331" s="1">
        <v>0.63800000000000001</v>
      </c>
      <c r="T331" s="1">
        <v>0.71899999999999997</v>
      </c>
    </row>
    <row r="332" spans="1:20" x14ac:dyDescent="0.2">
      <c r="A332" t="s">
        <v>118</v>
      </c>
      <c r="B332" t="s">
        <v>506</v>
      </c>
      <c r="C332">
        <v>903</v>
      </c>
      <c r="D332" t="s">
        <v>507</v>
      </c>
      <c r="E332" t="s">
        <v>387</v>
      </c>
      <c r="F332">
        <v>-3.145</v>
      </c>
      <c r="G332">
        <v>-3.5000000000000003E-2</v>
      </c>
      <c r="H332">
        <v>-3.3959999999999999</v>
      </c>
      <c r="I332">
        <v>-1.2809999999999999</v>
      </c>
      <c r="J332">
        <v>1.2E-2</v>
      </c>
      <c r="K332">
        <v>-0.873</v>
      </c>
      <c r="L332" s="2">
        <f t="shared" si="4"/>
        <v>2.7399999999999994E-3</v>
      </c>
      <c r="M332">
        <v>0.84799999999999998</v>
      </c>
      <c r="N332">
        <v>0.92900000000000005</v>
      </c>
      <c r="P332">
        <v>-0.84499999999999997</v>
      </c>
      <c r="Q332">
        <v>1.0999999999999999E-2</v>
      </c>
      <c r="R332">
        <v>-1.6E-2</v>
      </c>
      <c r="S332">
        <v>0.91800000000000004</v>
      </c>
      <c r="T332">
        <v>0.999</v>
      </c>
    </row>
    <row r="333" spans="1:20" s="1" customFormat="1" x14ac:dyDescent="0.2">
      <c r="A333" s="1" t="s">
        <v>102</v>
      </c>
      <c r="B333" s="1" t="s">
        <v>506</v>
      </c>
      <c r="C333" s="1">
        <v>904</v>
      </c>
      <c r="D333" s="1" t="s">
        <v>508</v>
      </c>
      <c r="E333" s="1" t="s">
        <v>501</v>
      </c>
      <c r="F333" s="1">
        <v>0.76900000000000002</v>
      </c>
      <c r="G333" s="1">
        <v>-0.23100000000000001</v>
      </c>
      <c r="H333" s="1">
        <v>14.771000000000001</v>
      </c>
      <c r="I333" s="1">
        <v>5.9169999999999998</v>
      </c>
      <c r="J333" s="1">
        <v>1.2E-2</v>
      </c>
      <c r="K333" s="1">
        <v>-0.873</v>
      </c>
      <c r="L333" s="3">
        <f t="shared" si="4"/>
        <v>-0.240228</v>
      </c>
      <c r="M333" s="1">
        <v>0.61299999999999999</v>
      </c>
      <c r="N333" s="1">
        <v>0.69399999999999995</v>
      </c>
      <c r="P333" s="1">
        <v>-0.35</v>
      </c>
      <c r="Q333" s="1">
        <v>1.0999999999999999E-2</v>
      </c>
      <c r="R333" s="1">
        <v>-1.6E-2</v>
      </c>
      <c r="S333" s="1">
        <v>0.67100000000000004</v>
      </c>
      <c r="T333" s="1">
        <v>0.752</v>
      </c>
    </row>
    <row r="334" spans="1:20" s="1" customFormat="1" x14ac:dyDescent="0.2">
      <c r="A334" s="1" t="s">
        <v>102</v>
      </c>
      <c r="B334" s="1" t="s">
        <v>506</v>
      </c>
      <c r="C334" s="1">
        <v>905</v>
      </c>
      <c r="D334" s="1" t="s">
        <v>509</v>
      </c>
      <c r="E334" s="1" t="s">
        <v>497</v>
      </c>
      <c r="F334" s="1">
        <v>1.8360000000000001</v>
      </c>
      <c r="G334" s="1">
        <v>-0.23300000000000001</v>
      </c>
      <c r="H334" s="1">
        <v>14.363</v>
      </c>
      <c r="I334" s="1">
        <v>5.64</v>
      </c>
      <c r="J334" s="1">
        <v>1.2E-2</v>
      </c>
      <c r="K334" s="1">
        <v>-0.873</v>
      </c>
      <c r="L334" s="3">
        <f t="shared" si="4"/>
        <v>-0.25503200000000004</v>
      </c>
      <c r="M334" s="1">
        <v>0.59799999999999998</v>
      </c>
      <c r="N334" s="1">
        <v>0.67900000000000005</v>
      </c>
      <c r="P334" s="1">
        <v>-0.48099999999999998</v>
      </c>
      <c r="Q334" s="1">
        <v>1.0999999999999999E-2</v>
      </c>
      <c r="R334" s="1">
        <v>-1.6E-2</v>
      </c>
      <c r="S334" s="1">
        <v>0.65600000000000003</v>
      </c>
      <c r="T334" s="1">
        <v>0.73699999999999999</v>
      </c>
    </row>
    <row r="335" spans="1:20" x14ac:dyDescent="0.2">
      <c r="A335" t="s">
        <v>106</v>
      </c>
      <c r="B335" t="s">
        <v>506</v>
      </c>
      <c r="C335">
        <v>906</v>
      </c>
      <c r="D335" t="s">
        <v>510</v>
      </c>
      <c r="E335" t="s">
        <v>37</v>
      </c>
      <c r="F335">
        <v>17.077000000000002</v>
      </c>
      <c r="G335">
        <v>-0.38500000000000001</v>
      </c>
      <c r="H335">
        <v>38.122</v>
      </c>
      <c r="I335">
        <v>14.537000000000001</v>
      </c>
      <c r="J335">
        <v>1.2E-2</v>
      </c>
      <c r="K335">
        <v>-0.873</v>
      </c>
      <c r="L335" s="2">
        <f t="shared" si="4"/>
        <v>-0.589924</v>
      </c>
      <c r="M335">
        <v>0.27400000000000002</v>
      </c>
      <c r="N335">
        <v>0.35499999999999998</v>
      </c>
      <c r="O335">
        <v>0.35199999999999998</v>
      </c>
      <c r="P335">
        <v>-0.35399999999999998</v>
      </c>
      <c r="Q335">
        <v>1.0999999999999999E-2</v>
      </c>
      <c r="R335">
        <v>-1.4999999999999999E-2</v>
      </c>
      <c r="S335">
        <v>0.314</v>
      </c>
      <c r="T335">
        <v>0.39500000000000002</v>
      </c>
    </row>
    <row r="336" spans="1:20" s="1" customFormat="1" x14ac:dyDescent="0.2">
      <c r="A336" s="1" t="s">
        <v>102</v>
      </c>
      <c r="B336" s="1" t="s">
        <v>506</v>
      </c>
      <c r="C336" s="1">
        <v>907</v>
      </c>
      <c r="D336" s="1" t="s">
        <v>511</v>
      </c>
      <c r="E336" s="1" t="s">
        <v>512</v>
      </c>
      <c r="F336" s="1">
        <v>1.5269999999999999</v>
      </c>
      <c r="G336" s="1">
        <v>-0.23</v>
      </c>
      <c r="H336" s="1">
        <v>15.491</v>
      </c>
      <c r="I336" s="1">
        <v>6.0519999999999996</v>
      </c>
      <c r="J336" s="1">
        <v>1.2E-2</v>
      </c>
      <c r="K336" s="1">
        <v>-0.873</v>
      </c>
      <c r="L336" s="3">
        <f t="shared" si="4"/>
        <v>-0.24832400000000002</v>
      </c>
      <c r="M336" s="1">
        <v>0.60499999999999998</v>
      </c>
      <c r="N336" s="1">
        <v>0.68600000000000005</v>
      </c>
      <c r="P336" s="1">
        <v>-0.49399999999999999</v>
      </c>
      <c r="Q336" s="1">
        <v>1.0999999999999999E-2</v>
      </c>
      <c r="R336" s="1">
        <v>-1.4999999999999999E-2</v>
      </c>
      <c r="S336" s="1">
        <v>0.66200000000000003</v>
      </c>
      <c r="T336" s="1">
        <v>0.74299999999999999</v>
      </c>
    </row>
    <row r="337" spans="1:20" s="1" customFormat="1" x14ac:dyDescent="0.2">
      <c r="A337" s="1" t="s">
        <v>102</v>
      </c>
      <c r="B337" s="1" t="s">
        <v>506</v>
      </c>
      <c r="C337" s="1">
        <v>908</v>
      </c>
      <c r="D337" s="1" t="s">
        <v>513</v>
      </c>
      <c r="E337" s="1" t="s">
        <v>501</v>
      </c>
      <c r="F337" s="1">
        <v>0.73399999999999999</v>
      </c>
      <c r="G337" s="1">
        <v>-0.24299999999999999</v>
      </c>
      <c r="H337" s="1">
        <v>14.502000000000001</v>
      </c>
      <c r="I337" s="1">
        <v>5.6890000000000001</v>
      </c>
      <c r="J337" s="1">
        <v>1.2E-2</v>
      </c>
      <c r="K337" s="1">
        <v>-0.874</v>
      </c>
      <c r="L337" s="3">
        <f t="shared" si="4"/>
        <v>-0.25180799999999998</v>
      </c>
      <c r="M337" s="1">
        <v>0.60199999999999998</v>
      </c>
      <c r="N337" s="1">
        <v>0.68300000000000005</v>
      </c>
      <c r="P337" s="1">
        <v>-0.496</v>
      </c>
      <c r="Q337" s="1">
        <v>1.0999999999999999E-2</v>
      </c>
      <c r="R337" s="1">
        <v>-1.4999999999999999E-2</v>
      </c>
      <c r="S337" s="1">
        <v>0.65900000000000003</v>
      </c>
      <c r="T337" s="1">
        <v>0.74</v>
      </c>
    </row>
    <row r="338" spans="1:20" x14ac:dyDescent="0.2">
      <c r="A338" t="s">
        <v>2</v>
      </c>
      <c r="B338" t="s">
        <v>506</v>
      </c>
      <c r="C338">
        <v>909</v>
      </c>
      <c r="D338" t="s">
        <v>514</v>
      </c>
      <c r="E338" t="s">
        <v>217</v>
      </c>
      <c r="F338">
        <v>-0.84699999999999998</v>
      </c>
      <c r="G338">
        <v>-0.90300000000000002</v>
      </c>
      <c r="H338">
        <v>5.9210000000000003</v>
      </c>
      <c r="I338">
        <v>2.8210000000000002</v>
      </c>
      <c r="J338">
        <v>1.2E-2</v>
      </c>
      <c r="K338">
        <v>-0.874</v>
      </c>
      <c r="L338" s="2">
        <f t="shared" si="4"/>
        <v>-0.89283600000000007</v>
      </c>
      <c r="M338">
        <v>-1.9E-2</v>
      </c>
      <c r="N338">
        <v>6.2E-2</v>
      </c>
      <c r="P338">
        <v>-0.20100000000000001</v>
      </c>
      <c r="Q338">
        <v>1.0999999999999999E-2</v>
      </c>
      <c r="R338">
        <v>-1.4999999999999999E-2</v>
      </c>
      <c r="S338">
        <v>8.0000000000000002E-3</v>
      </c>
      <c r="T338">
        <v>8.8999999999999996E-2</v>
      </c>
    </row>
    <row r="339" spans="1:20" s="1" customFormat="1" x14ac:dyDescent="0.2">
      <c r="A339" s="1" t="s">
        <v>102</v>
      </c>
      <c r="B339" s="1" t="s">
        <v>515</v>
      </c>
      <c r="C339" s="1">
        <v>910</v>
      </c>
      <c r="D339" s="1" t="s">
        <v>516</v>
      </c>
      <c r="E339" s="1" t="s">
        <v>517</v>
      </c>
      <c r="F339" s="1">
        <v>2.4609999999999999</v>
      </c>
      <c r="G339" s="1">
        <v>-0.223</v>
      </c>
      <c r="H339" s="1">
        <v>16.096</v>
      </c>
      <c r="I339" s="1">
        <v>6.3380000000000001</v>
      </c>
      <c r="J339" s="1">
        <v>1.2E-2</v>
      </c>
      <c r="K339" s="1">
        <v>-0.874</v>
      </c>
      <c r="L339" s="3">
        <f t="shared" si="4"/>
        <v>-0.25253199999999998</v>
      </c>
      <c r="M339" s="1">
        <v>0.60099999999999998</v>
      </c>
      <c r="N339" s="1">
        <v>0.68200000000000005</v>
      </c>
      <c r="P339" s="1">
        <v>-0.443</v>
      </c>
      <c r="Q339" s="1">
        <v>1.0999999999999999E-2</v>
      </c>
      <c r="R339" s="1">
        <v>-1.4999999999999999E-2</v>
      </c>
      <c r="S339" s="1">
        <v>0.65800000000000003</v>
      </c>
      <c r="T339" s="1">
        <v>0.73899999999999999</v>
      </c>
    </row>
    <row r="340" spans="1:20" s="1" customFormat="1" x14ac:dyDescent="0.2">
      <c r="A340" s="1" t="s">
        <v>102</v>
      </c>
      <c r="B340" s="1" t="s">
        <v>515</v>
      </c>
      <c r="C340" s="1">
        <v>911</v>
      </c>
      <c r="D340" s="1" t="s">
        <v>518</v>
      </c>
      <c r="E340" s="1" t="s">
        <v>519</v>
      </c>
      <c r="F340" s="1">
        <v>5.9160000000000004</v>
      </c>
      <c r="G340" s="1">
        <v>-0.16600000000000001</v>
      </c>
      <c r="H340" s="1">
        <v>15.808</v>
      </c>
      <c r="I340" s="1">
        <v>6.18</v>
      </c>
      <c r="J340" s="1">
        <v>1.2E-2</v>
      </c>
      <c r="K340" s="1">
        <v>-0.874</v>
      </c>
      <c r="L340" s="3">
        <f t="shared" si="4"/>
        <v>-0.23699200000000001</v>
      </c>
      <c r="M340" s="1">
        <v>0.61499999999999999</v>
      </c>
      <c r="N340" s="1">
        <v>0.69599999999999995</v>
      </c>
      <c r="P340" s="1">
        <v>-0.499</v>
      </c>
      <c r="Q340" s="1">
        <v>1.0999999999999999E-2</v>
      </c>
      <c r="R340" s="1">
        <v>-1.4999999999999999E-2</v>
      </c>
      <c r="S340" s="1">
        <v>0.67300000000000004</v>
      </c>
      <c r="T340" s="1">
        <v>0.754</v>
      </c>
    </row>
    <row r="341" spans="1:20" x14ac:dyDescent="0.2">
      <c r="A341" t="s">
        <v>106</v>
      </c>
      <c r="B341" t="s">
        <v>515</v>
      </c>
      <c r="C341">
        <v>912</v>
      </c>
      <c r="D341" t="s">
        <v>520</v>
      </c>
      <c r="E341" t="s">
        <v>6</v>
      </c>
      <c r="F341">
        <v>3.1859999999999999</v>
      </c>
      <c r="G341">
        <v>-0.24399999999999999</v>
      </c>
      <c r="H341">
        <v>-1.85</v>
      </c>
      <c r="I341">
        <v>-0.47799999999999998</v>
      </c>
      <c r="J341">
        <v>1.2E-2</v>
      </c>
      <c r="K341">
        <v>-0.874</v>
      </c>
      <c r="L341" s="2">
        <f t="shared" si="4"/>
        <v>-0.28223199999999998</v>
      </c>
      <c r="M341">
        <v>0.57199999999999995</v>
      </c>
      <c r="N341">
        <v>0.65300000000000002</v>
      </c>
      <c r="O341">
        <v>0.65</v>
      </c>
      <c r="P341">
        <v>-0.64300000000000002</v>
      </c>
      <c r="Q341">
        <v>1.0999999999999999E-2</v>
      </c>
      <c r="R341">
        <v>-1.4999999999999999E-2</v>
      </c>
      <c r="S341">
        <v>0.627</v>
      </c>
      <c r="T341">
        <v>0.70799999999999996</v>
      </c>
    </row>
    <row r="342" spans="1:20" s="1" customFormat="1" x14ac:dyDescent="0.2">
      <c r="A342" s="1" t="s">
        <v>102</v>
      </c>
      <c r="B342" s="1" t="s">
        <v>515</v>
      </c>
      <c r="C342" s="1">
        <v>913</v>
      </c>
      <c r="D342" s="1" t="s">
        <v>521</v>
      </c>
      <c r="E342" s="1" t="s">
        <v>522</v>
      </c>
      <c r="F342" s="1">
        <v>4.6529999999999996</v>
      </c>
      <c r="G342" s="1">
        <v>-0.20300000000000001</v>
      </c>
      <c r="H342" s="1">
        <v>15.324</v>
      </c>
      <c r="I342" s="1">
        <v>5.9589999999999996</v>
      </c>
      <c r="J342" s="1">
        <v>1.2E-2</v>
      </c>
      <c r="K342" s="1">
        <v>-0.874</v>
      </c>
      <c r="L342" s="3">
        <f t="shared" si="4"/>
        <v>-0.25883600000000001</v>
      </c>
      <c r="M342" s="1">
        <v>0.59399999999999997</v>
      </c>
      <c r="N342" s="1">
        <v>0.67500000000000004</v>
      </c>
      <c r="P342" s="1">
        <v>-0.55000000000000004</v>
      </c>
      <c r="Q342" s="1">
        <v>1.0999999999999999E-2</v>
      </c>
      <c r="R342" s="1">
        <v>-1.4999999999999999E-2</v>
      </c>
      <c r="S342" s="1">
        <v>0.65100000000000002</v>
      </c>
      <c r="T342" s="1">
        <v>0.73199999999999998</v>
      </c>
    </row>
    <row r="343" spans="1:20" x14ac:dyDescent="0.2">
      <c r="A343" t="s">
        <v>118</v>
      </c>
      <c r="B343" t="s">
        <v>515</v>
      </c>
      <c r="C343">
        <v>914</v>
      </c>
      <c r="D343" t="s">
        <v>523</v>
      </c>
      <c r="E343" t="s">
        <v>360</v>
      </c>
      <c r="F343">
        <v>15.663</v>
      </c>
      <c r="G343">
        <v>0.158</v>
      </c>
      <c r="H343">
        <v>57.017000000000003</v>
      </c>
      <c r="I343">
        <v>21.238</v>
      </c>
      <c r="J343">
        <v>1.2E-2</v>
      </c>
      <c r="K343">
        <v>-0.874</v>
      </c>
      <c r="L343" s="2">
        <f t="shared" si="4"/>
        <v>-2.995600000000001E-2</v>
      </c>
      <c r="M343">
        <v>0.81399999999999995</v>
      </c>
      <c r="N343">
        <v>0.89500000000000002</v>
      </c>
      <c r="P343">
        <v>-0.66800000000000004</v>
      </c>
      <c r="Q343">
        <v>1.0999999999999999E-2</v>
      </c>
      <c r="R343">
        <v>-1.4999999999999999E-2</v>
      </c>
      <c r="S343">
        <v>0.88100000000000001</v>
      </c>
      <c r="T343">
        <v>0.96199999999999997</v>
      </c>
    </row>
    <row r="344" spans="1:20" s="1" customFormat="1" x14ac:dyDescent="0.2">
      <c r="A344" s="1" t="s">
        <v>102</v>
      </c>
      <c r="B344" s="1" t="s">
        <v>524</v>
      </c>
      <c r="C344" s="1">
        <v>915</v>
      </c>
      <c r="D344" s="1" t="s">
        <v>525</v>
      </c>
      <c r="E344" s="1" t="s">
        <v>526</v>
      </c>
      <c r="F344" s="1">
        <v>0.71399999999999997</v>
      </c>
      <c r="G344" s="1">
        <v>-0.24</v>
      </c>
      <c r="H344" s="1">
        <v>13.132999999999999</v>
      </c>
      <c r="I344" s="1">
        <v>5.2720000000000002</v>
      </c>
      <c r="J344" s="1">
        <v>1.2E-2</v>
      </c>
      <c r="K344" s="1">
        <v>-0.874</v>
      </c>
      <c r="L344" s="3">
        <f t="shared" si="4"/>
        <v>-0.24856799999999998</v>
      </c>
      <c r="M344" s="1">
        <v>0.60499999999999998</v>
      </c>
      <c r="N344" s="1">
        <v>0.68600000000000005</v>
      </c>
      <c r="P344" s="1">
        <v>-0.436</v>
      </c>
      <c r="Q344" s="1">
        <v>1.0999999999999999E-2</v>
      </c>
      <c r="R344" s="1">
        <v>-1.4999999999999999E-2</v>
      </c>
      <c r="S344" s="1">
        <v>0.66100000000000003</v>
      </c>
      <c r="T344" s="1">
        <v>0.74199999999999999</v>
      </c>
    </row>
    <row r="345" spans="1:20" s="1" customFormat="1" x14ac:dyDescent="0.2">
      <c r="A345" s="1" t="s">
        <v>102</v>
      </c>
      <c r="B345" s="1" t="s">
        <v>524</v>
      </c>
      <c r="C345" s="1">
        <v>916</v>
      </c>
      <c r="D345" s="1" t="s">
        <v>527</v>
      </c>
      <c r="E345" s="1" t="s">
        <v>519</v>
      </c>
      <c r="F345" s="1">
        <v>5.8970000000000002</v>
      </c>
      <c r="G345" s="1">
        <v>-0.188</v>
      </c>
      <c r="H345" s="1">
        <v>15.535</v>
      </c>
      <c r="I345" s="1">
        <v>6.09</v>
      </c>
      <c r="J345" s="1">
        <v>1.2E-2</v>
      </c>
      <c r="K345" s="1">
        <v>-0.874</v>
      </c>
      <c r="L345" s="3">
        <f t="shared" si="4"/>
        <v>-0.25876399999999999</v>
      </c>
      <c r="M345" s="1">
        <v>0.59399999999999997</v>
      </c>
      <c r="N345" s="1">
        <v>0.67500000000000004</v>
      </c>
      <c r="P345" s="1">
        <v>-0.50900000000000001</v>
      </c>
      <c r="Q345" s="1">
        <v>1.0999999999999999E-2</v>
      </c>
      <c r="R345" s="1">
        <v>-1.4E-2</v>
      </c>
      <c r="S345" s="1">
        <v>0.65</v>
      </c>
      <c r="T345" s="1">
        <v>0.73099999999999998</v>
      </c>
    </row>
    <row r="346" spans="1:20" s="1" customFormat="1" x14ac:dyDescent="0.2">
      <c r="A346" s="1" t="s">
        <v>102</v>
      </c>
      <c r="B346" s="1" t="s">
        <v>524</v>
      </c>
      <c r="C346" s="1">
        <v>917</v>
      </c>
      <c r="D346" s="1" t="s">
        <v>528</v>
      </c>
      <c r="E346" s="1" t="s">
        <v>529</v>
      </c>
      <c r="F346" s="1">
        <v>-0.159</v>
      </c>
      <c r="G346" s="1">
        <v>-0.27100000000000002</v>
      </c>
      <c r="H346" s="1">
        <v>13.118</v>
      </c>
      <c r="I346" s="1">
        <v>5.2770000000000001</v>
      </c>
      <c r="J346" s="1">
        <v>1.2E-2</v>
      </c>
      <c r="K346" s="1">
        <v>-0.874</v>
      </c>
      <c r="L346" s="3">
        <f t="shared" si="4"/>
        <v>-0.269092</v>
      </c>
      <c r="M346" s="1">
        <v>0.58499999999999996</v>
      </c>
      <c r="N346" s="1">
        <v>0.66600000000000004</v>
      </c>
      <c r="P346" s="1">
        <v>-0.433</v>
      </c>
      <c r="Q346" s="1">
        <v>1.0999999999999999E-2</v>
      </c>
      <c r="R346" s="1">
        <v>-1.4E-2</v>
      </c>
      <c r="S346" s="1">
        <v>0.64100000000000001</v>
      </c>
      <c r="T346" s="1">
        <v>0.72199999999999998</v>
      </c>
    </row>
    <row r="347" spans="1:20" x14ac:dyDescent="0.2">
      <c r="A347" t="s">
        <v>106</v>
      </c>
      <c r="B347" t="s">
        <v>524</v>
      </c>
      <c r="C347">
        <v>918</v>
      </c>
      <c r="D347" t="s">
        <v>530</v>
      </c>
      <c r="E347" t="s">
        <v>37</v>
      </c>
      <c r="F347">
        <v>17.079000000000001</v>
      </c>
      <c r="G347">
        <v>-0.376</v>
      </c>
      <c r="H347">
        <v>38.594999999999999</v>
      </c>
      <c r="I347">
        <v>15.016</v>
      </c>
      <c r="J347">
        <v>1.2E-2</v>
      </c>
      <c r="K347">
        <v>-0.874</v>
      </c>
      <c r="L347" s="2">
        <f t="shared" si="4"/>
        <v>-0.58094800000000002</v>
      </c>
      <c r="M347">
        <v>0.28000000000000003</v>
      </c>
      <c r="N347">
        <v>0.36099999999999999</v>
      </c>
      <c r="O347">
        <v>0.35199999999999998</v>
      </c>
      <c r="P347">
        <v>-0.106</v>
      </c>
      <c r="Q347">
        <v>1.0999999999999999E-2</v>
      </c>
      <c r="R347">
        <v>-1.4E-2</v>
      </c>
      <c r="S347">
        <v>0.32100000000000001</v>
      </c>
      <c r="T347">
        <v>0.40200000000000002</v>
      </c>
    </row>
    <row r="348" spans="1:20" x14ac:dyDescent="0.2">
      <c r="A348" t="s">
        <v>2</v>
      </c>
      <c r="B348" t="s">
        <v>524</v>
      </c>
      <c r="C348">
        <v>919</v>
      </c>
      <c r="D348" t="s">
        <v>531</v>
      </c>
      <c r="E348" t="s">
        <v>532</v>
      </c>
      <c r="F348">
        <v>13.279</v>
      </c>
      <c r="G348">
        <v>-0.69499999999999995</v>
      </c>
      <c r="H348">
        <v>52.621000000000002</v>
      </c>
      <c r="I348">
        <v>20.388000000000002</v>
      </c>
      <c r="J348">
        <v>1.2E-2</v>
      </c>
      <c r="K348">
        <v>-0.874</v>
      </c>
      <c r="L348" s="2">
        <f t="shared" si="4"/>
        <v>-0.85434799999999989</v>
      </c>
      <c r="M348">
        <v>1.6E-2</v>
      </c>
      <c r="N348">
        <v>9.7000000000000003E-2</v>
      </c>
      <c r="P348">
        <v>8.2000000000000003E-2</v>
      </c>
      <c r="Q348">
        <v>1.0999999999999999E-2</v>
      </c>
      <c r="R348">
        <v>-1.4E-2</v>
      </c>
      <c r="S348">
        <v>4.3999999999999997E-2</v>
      </c>
      <c r="T348">
        <v>0.125</v>
      </c>
    </row>
    <row r="349" spans="1:20" s="1" customFormat="1" x14ac:dyDescent="0.2">
      <c r="A349" s="1" t="s">
        <v>102</v>
      </c>
      <c r="B349" s="1" t="s">
        <v>524</v>
      </c>
      <c r="C349" s="1">
        <v>920</v>
      </c>
      <c r="D349" s="1" t="s">
        <v>533</v>
      </c>
      <c r="E349" s="1" t="s">
        <v>522</v>
      </c>
      <c r="F349" s="1">
        <v>4.6520000000000001</v>
      </c>
      <c r="G349" s="1">
        <v>-0.193</v>
      </c>
      <c r="H349" s="1">
        <v>15.593999999999999</v>
      </c>
      <c r="I349" s="1">
        <v>6.1740000000000004</v>
      </c>
      <c r="J349" s="1">
        <v>1.2E-2</v>
      </c>
      <c r="K349" s="1">
        <v>-0.874</v>
      </c>
      <c r="L349" s="3">
        <f t="shared" si="4"/>
        <v>-0.24882400000000002</v>
      </c>
      <c r="M349" s="1">
        <v>0.60399999999999998</v>
      </c>
      <c r="N349" s="1">
        <v>0.68500000000000005</v>
      </c>
      <c r="P349" s="1">
        <v>-0.46200000000000002</v>
      </c>
      <c r="Q349" s="1">
        <v>1.0999999999999999E-2</v>
      </c>
      <c r="R349" s="1">
        <v>-1.4E-2</v>
      </c>
      <c r="S349" s="1">
        <v>0.66</v>
      </c>
      <c r="T349" s="1">
        <v>0.74099999999999999</v>
      </c>
    </row>
    <row r="350" spans="1:20" s="1" customFormat="1" x14ac:dyDescent="0.2">
      <c r="A350" s="1" t="s">
        <v>102</v>
      </c>
      <c r="B350" s="1" t="s">
        <v>534</v>
      </c>
      <c r="C350" s="1">
        <v>921</v>
      </c>
      <c r="D350" s="1" t="s">
        <v>535</v>
      </c>
      <c r="E350" s="1" t="s">
        <v>517</v>
      </c>
      <c r="F350" s="1">
        <v>2.4460000000000002</v>
      </c>
      <c r="G350" s="1">
        <v>-0.24199999999999999</v>
      </c>
      <c r="H350" s="1">
        <v>16.119</v>
      </c>
      <c r="I350" s="1">
        <v>6.38</v>
      </c>
      <c r="J350" s="1">
        <v>1.2E-2</v>
      </c>
      <c r="K350" s="1">
        <v>-0.874</v>
      </c>
      <c r="L350" s="3">
        <f t="shared" si="4"/>
        <v>-0.27135199999999998</v>
      </c>
      <c r="M350" s="1">
        <v>0.58199999999999996</v>
      </c>
      <c r="N350" s="1">
        <v>0.66300000000000003</v>
      </c>
      <c r="P350" s="1">
        <v>-0.45400000000000001</v>
      </c>
      <c r="Q350" s="1">
        <v>1.0999999999999999E-2</v>
      </c>
      <c r="R350" s="1">
        <v>-1.4E-2</v>
      </c>
      <c r="S350" s="1">
        <v>0.63700000000000001</v>
      </c>
      <c r="T350" s="1">
        <v>0.71799999999999997</v>
      </c>
    </row>
    <row r="351" spans="1:20" s="1" customFormat="1" x14ac:dyDescent="0.2">
      <c r="A351" s="1" t="s">
        <v>102</v>
      </c>
      <c r="B351" s="1" t="s">
        <v>534</v>
      </c>
      <c r="C351" s="1">
        <v>922</v>
      </c>
      <c r="D351" s="1" t="s">
        <v>536</v>
      </c>
      <c r="E351" s="1" t="s">
        <v>526</v>
      </c>
      <c r="F351" s="1">
        <v>0.77200000000000002</v>
      </c>
      <c r="G351" s="1">
        <v>-0.23899999999999999</v>
      </c>
      <c r="H351" s="1">
        <v>13.398</v>
      </c>
      <c r="I351" s="1">
        <v>5.4409999999999998</v>
      </c>
      <c r="J351" s="1">
        <v>1.2E-2</v>
      </c>
      <c r="K351" s="1">
        <v>-0.874</v>
      </c>
      <c r="L351" s="3">
        <f t="shared" si="4"/>
        <v>-0.24826399999999998</v>
      </c>
      <c r="M351" s="1">
        <v>0.60499999999999998</v>
      </c>
      <c r="N351" s="1">
        <v>0.68600000000000005</v>
      </c>
      <c r="P351" s="1">
        <v>-0.39200000000000002</v>
      </c>
      <c r="Q351" s="1">
        <v>1.0999999999999999E-2</v>
      </c>
      <c r="R351" s="1">
        <v>-1.4E-2</v>
      </c>
      <c r="S351" s="1">
        <v>0.66100000000000003</v>
      </c>
      <c r="T351" s="1">
        <v>0.74199999999999999</v>
      </c>
    </row>
    <row r="352" spans="1:20" s="1" customFormat="1" x14ac:dyDescent="0.2">
      <c r="A352" s="1" t="s">
        <v>102</v>
      </c>
      <c r="B352" s="1" t="s">
        <v>534</v>
      </c>
      <c r="C352" s="1">
        <v>923</v>
      </c>
      <c r="D352" s="1" t="s">
        <v>537</v>
      </c>
      <c r="E352" s="1" t="s">
        <v>526</v>
      </c>
      <c r="F352" s="1">
        <v>0.72299999999999998</v>
      </c>
      <c r="G352" s="1">
        <v>-0.26400000000000001</v>
      </c>
      <c r="H352" s="1">
        <v>13.218999999999999</v>
      </c>
      <c r="I352" s="1">
        <v>5.3109999999999999</v>
      </c>
      <c r="J352" s="1">
        <v>1.2E-2</v>
      </c>
      <c r="K352" s="1">
        <v>-0.874</v>
      </c>
      <c r="L352" s="3">
        <f t="shared" si="4"/>
        <v>-0.27267600000000003</v>
      </c>
      <c r="M352" s="1">
        <v>0.58199999999999996</v>
      </c>
      <c r="N352" s="1">
        <v>0.66300000000000003</v>
      </c>
      <c r="P352" s="1">
        <v>-0.46</v>
      </c>
      <c r="Q352" s="1">
        <v>1.0999999999999999E-2</v>
      </c>
      <c r="R352" s="1">
        <v>-1.4E-2</v>
      </c>
      <c r="S352" s="1">
        <v>0.63600000000000001</v>
      </c>
      <c r="T352" s="1">
        <v>0.71699999999999997</v>
      </c>
    </row>
    <row r="353" spans="1:20" s="1" customFormat="1" x14ac:dyDescent="0.2">
      <c r="A353" s="1" t="s">
        <v>102</v>
      </c>
      <c r="B353" s="1" t="s">
        <v>534</v>
      </c>
      <c r="C353" s="1">
        <v>924</v>
      </c>
      <c r="D353" s="1" t="s">
        <v>538</v>
      </c>
      <c r="E353" s="1" t="s">
        <v>522</v>
      </c>
      <c r="F353" s="1">
        <v>4.6239999999999997</v>
      </c>
      <c r="G353" s="1">
        <v>-0.21199999999999999</v>
      </c>
      <c r="H353" s="1">
        <v>15.388999999999999</v>
      </c>
      <c r="I353" s="1">
        <v>6.0289999999999999</v>
      </c>
      <c r="J353" s="1">
        <v>1.2E-2</v>
      </c>
      <c r="K353" s="1">
        <v>-0.874</v>
      </c>
      <c r="L353" s="3">
        <f t="shared" si="4"/>
        <v>-0.267488</v>
      </c>
      <c r="M353" s="1">
        <v>0.58499999999999996</v>
      </c>
      <c r="N353" s="1">
        <v>0.66600000000000004</v>
      </c>
      <c r="P353" s="1">
        <v>-0.54700000000000004</v>
      </c>
      <c r="Q353" s="1">
        <v>1.0999999999999999E-2</v>
      </c>
      <c r="R353" s="1">
        <v>-1.4E-2</v>
      </c>
      <c r="S353" s="1">
        <v>0.64</v>
      </c>
      <c r="T353" s="1">
        <v>0.72099999999999997</v>
      </c>
    </row>
    <row r="354" spans="1:20" s="1" customFormat="1" x14ac:dyDescent="0.2">
      <c r="A354" s="1" t="s">
        <v>102</v>
      </c>
      <c r="B354" s="1" t="s">
        <v>664</v>
      </c>
      <c r="C354" s="1">
        <v>928</v>
      </c>
      <c r="D354" s="1" t="s">
        <v>539</v>
      </c>
      <c r="E354" s="1" t="s">
        <v>517</v>
      </c>
      <c r="F354" s="1">
        <v>2.411</v>
      </c>
      <c r="G354" s="1">
        <v>-0.22700000000000001</v>
      </c>
      <c r="H354" s="1">
        <v>16.096</v>
      </c>
      <c r="I354" s="1">
        <v>6.4189999999999996</v>
      </c>
      <c r="J354" s="1">
        <v>1.2E-2</v>
      </c>
      <c r="K354" s="1">
        <v>-0.875</v>
      </c>
      <c r="L354" s="3">
        <v>-0.25700000000000001</v>
      </c>
      <c r="N354" s="1">
        <v>0.67800000000000005</v>
      </c>
      <c r="P354" s="1">
        <v>-0.433</v>
      </c>
      <c r="Q354" s="1">
        <v>1.2E-2</v>
      </c>
      <c r="R354" s="1">
        <v>-1.2999999999999999E-2</v>
      </c>
      <c r="S354" s="1">
        <v>0.65200000000000002</v>
      </c>
      <c r="T354" s="1">
        <v>0.73299999999999998</v>
      </c>
    </row>
    <row r="355" spans="1:20" x14ac:dyDescent="0.2">
      <c r="A355" t="s">
        <v>581</v>
      </c>
      <c r="B355" t="s">
        <v>664</v>
      </c>
      <c r="C355">
        <v>929</v>
      </c>
      <c r="D355" t="s">
        <v>540</v>
      </c>
      <c r="E355" t="s">
        <v>217</v>
      </c>
      <c r="F355">
        <v>-0.42</v>
      </c>
      <c r="G355">
        <v>-0.89800000000000002</v>
      </c>
      <c r="H355">
        <v>7.4130000000000003</v>
      </c>
      <c r="I355">
        <v>3.4039999999999999</v>
      </c>
      <c r="J355">
        <v>1.2E-2</v>
      </c>
      <c r="K355">
        <v>-0.875</v>
      </c>
      <c r="L355" s="2">
        <v>-0.89300000000000002</v>
      </c>
      <c r="N355">
        <v>6.4000000000000001E-2</v>
      </c>
      <c r="P355">
        <v>-0.246</v>
      </c>
      <c r="Q355">
        <v>1.2E-2</v>
      </c>
      <c r="R355">
        <v>-1.2999999999999999E-2</v>
      </c>
      <c r="S355">
        <v>8.9999999999999993E-3</v>
      </c>
      <c r="T355">
        <v>0.09</v>
      </c>
    </row>
    <row r="356" spans="1:20" s="1" customFormat="1" x14ac:dyDescent="0.2">
      <c r="A356" s="1" t="s">
        <v>102</v>
      </c>
      <c r="B356" s="1" t="s">
        <v>664</v>
      </c>
      <c r="C356" s="1">
        <v>930</v>
      </c>
      <c r="D356" s="1" t="s">
        <v>541</v>
      </c>
      <c r="E356" s="1" t="s">
        <v>529</v>
      </c>
      <c r="F356" s="1">
        <v>-0.23400000000000001</v>
      </c>
      <c r="G356" s="1">
        <v>-0.26700000000000002</v>
      </c>
      <c r="H356" s="1">
        <v>12.75</v>
      </c>
      <c r="I356" s="1">
        <v>5.0010000000000003</v>
      </c>
      <c r="J356" s="1">
        <v>1.2E-2</v>
      </c>
      <c r="K356" s="1">
        <v>-0.875</v>
      </c>
      <c r="L356" s="3">
        <v>-0.26400000000000001</v>
      </c>
      <c r="N356" s="1">
        <v>0.67100000000000004</v>
      </c>
      <c r="P356" s="1">
        <v>-0.623</v>
      </c>
      <c r="Q356" s="1">
        <v>1.2E-2</v>
      </c>
      <c r="R356" s="1">
        <v>-1.2999999999999999E-2</v>
      </c>
      <c r="S356" s="1">
        <v>0.64500000000000002</v>
      </c>
      <c r="T356" s="1">
        <v>0.72599999999999998</v>
      </c>
    </row>
    <row r="357" spans="1:20" x14ac:dyDescent="0.2">
      <c r="A357" t="s">
        <v>106</v>
      </c>
      <c r="B357" t="s">
        <v>665</v>
      </c>
      <c r="C357">
        <v>931</v>
      </c>
      <c r="D357" t="s">
        <v>542</v>
      </c>
      <c r="E357" t="s">
        <v>37</v>
      </c>
      <c r="F357">
        <v>17.021000000000001</v>
      </c>
      <c r="G357">
        <v>-0.40899999999999997</v>
      </c>
      <c r="H357">
        <v>38.19</v>
      </c>
      <c r="I357">
        <v>14.709</v>
      </c>
      <c r="J357">
        <v>1.2E-2</v>
      </c>
      <c r="K357">
        <v>-0.875</v>
      </c>
      <c r="L357" s="2">
        <v>-0.62</v>
      </c>
      <c r="N357">
        <v>0.32800000000000001</v>
      </c>
      <c r="O357">
        <v>0.35199999999999998</v>
      </c>
      <c r="P357">
        <v>-0.31</v>
      </c>
      <c r="Q357">
        <v>1.2E-2</v>
      </c>
      <c r="R357">
        <v>-1.2999999999999999E-2</v>
      </c>
      <c r="S357">
        <v>0.28499999999999998</v>
      </c>
      <c r="T357">
        <v>0.36599999999999999</v>
      </c>
    </row>
    <row r="358" spans="1:20" x14ac:dyDescent="0.2">
      <c r="A358" t="s">
        <v>106</v>
      </c>
      <c r="B358" t="s">
        <v>665</v>
      </c>
      <c r="C358">
        <v>935</v>
      </c>
      <c r="D358" t="s">
        <v>543</v>
      </c>
      <c r="E358" t="s">
        <v>6</v>
      </c>
      <c r="F358">
        <v>3.0019999999999998</v>
      </c>
      <c r="G358">
        <v>-0.22700000000000001</v>
      </c>
      <c r="H358">
        <v>-2.4529999999999998</v>
      </c>
      <c r="I358">
        <v>-0.75600000000000001</v>
      </c>
      <c r="J358">
        <v>1.2E-2</v>
      </c>
      <c r="K358">
        <v>-0.875</v>
      </c>
      <c r="L358" s="2">
        <v>-0.26400000000000001</v>
      </c>
      <c r="N358">
        <v>0.67100000000000004</v>
      </c>
      <c r="O358">
        <v>0.65</v>
      </c>
      <c r="P358">
        <v>-0.78800000000000003</v>
      </c>
      <c r="Q358">
        <v>1.2E-2</v>
      </c>
      <c r="R358">
        <v>-1.2E-2</v>
      </c>
      <c r="S358">
        <v>0.64400000000000002</v>
      </c>
      <c r="T358">
        <v>0.72499999999999998</v>
      </c>
    </row>
    <row r="359" spans="1:20" x14ac:dyDescent="0.2">
      <c r="A359" t="s">
        <v>582</v>
      </c>
      <c r="B359" t="s">
        <v>666</v>
      </c>
      <c r="C359">
        <v>938</v>
      </c>
      <c r="D359" t="s">
        <v>544</v>
      </c>
      <c r="E359" t="s">
        <v>360</v>
      </c>
      <c r="F359">
        <v>15.542999999999999</v>
      </c>
      <c r="G359">
        <v>0.19500000000000001</v>
      </c>
      <c r="H359">
        <v>56.514000000000003</v>
      </c>
      <c r="I359">
        <v>21.04</v>
      </c>
      <c r="J359">
        <v>1.2E-2</v>
      </c>
      <c r="K359">
        <v>-0.875</v>
      </c>
      <c r="L359" s="2">
        <v>2E-3</v>
      </c>
      <c r="N359">
        <v>0.92800000000000005</v>
      </c>
      <c r="P359">
        <v>-0.75700000000000001</v>
      </c>
      <c r="Q359">
        <v>1.2E-2</v>
      </c>
      <c r="R359">
        <v>-1.2E-2</v>
      </c>
      <c r="S359">
        <v>0.91200000000000003</v>
      </c>
      <c r="T359">
        <v>0.99299999999999999</v>
      </c>
    </row>
    <row r="360" spans="1:20" x14ac:dyDescent="0.2">
      <c r="A360" t="s">
        <v>106</v>
      </c>
      <c r="B360" t="s">
        <v>666</v>
      </c>
      <c r="C360">
        <v>940</v>
      </c>
      <c r="D360" t="s">
        <v>545</v>
      </c>
      <c r="E360" t="s">
        <v>37</v>
      </c>
      <c r="F360">
        <v>17.146999999999998</v>
      </c>
      <c r="G360">
        <v>-0.376</v>
      </c>
      <c r="H360">
        <v>38.368000000000002</v>
      </c>
      <c r="I360">
        <v>14.705</v>
      </c>
      <c r="J360">
        <v>1.2E-2</v>
      </c>
      <c r="K360">
        <v>-0.875</v>
      </c>
      <c r="L360" s="2">
        <v>-0.59</v>
      </c>
      <c r="N360">
        <v>0.35699999999999998</v>
      </c>
      <c r="O360">
        <v>0.35199999999999998</v>
      </c>
      <c r="P360">
        <v>-0.40300000000000002</v>
      </c>
      <c r="Q360">
        <v>1.2E-2</v>
      </c>
      <c r="R360">
        <v>-1.0999999999999999E-2</v>
      </c>
      <c r="S360">
        <v>0.315</v>
      </c>
      <c r="T360">
        <v>0.39600000000000002</v>
      </c>
    </row>
    <row r="361" spans="1:20" x14ac:dyDescent="0.2">
      <c r="A361" t="s">
        <v>581</v>
      </c>
      <c r="B361" t="s">
        <v>667</v>
      </c>
      <c r="C361">
        <v>944</v>
      </c>
      <c r="D361" t="s">
        <v>546</v>
      </c>
      <c r="E361" t="s">
        <v>217</v>
      </c>
      <c r="F361">
        <v>-1.0860000000000001</v>
      </c>
      <c r="G361">
        <v>-0.89700000000000002</v>
      </c>
      <c r="H361">
        <v>5.6459999999999999</v>
      </c>
      <c r="I361">
        <v>2.851</v>
      </c>
      <c r="J361">
        <v>1.2999999999999999E-2</v>
      </c>
      <c r="K361">
        <v>-0.876</v>
      </c>
      <c r="L361" s="2">
        <v>-0.88300000000000001</v>
      </c>
      <c r="N361">
        <v>7.2999999999999995E-2</v>
      </c>
      <c r="P361">
        <v>-0.20499999999999999</v>
      </c>
      <c r="Q361">
        <v>1.2E-2</v>
      </c>
      <c r="R361">
        <v>-1.0999999999999999E-2</v>
      </c>
      <c r="S361">
        <v>1.9E-2</v>
      </c>
      <c r="T361">
        <v>0.1</v>
      </c>
    </row>
    <row r="362" spans="1:20" x14ac:dyDescent="0.2">
      <c r="A362" t="s">
        <v>582</v>
      </c>
      <c r="B362" t="s">
        <v>667</v>
      </c>
      <c r="C362">
        <v>945</v>
      </c>
      <c r="D362" t="s">
        <v>547</v>
      </c>
      <c r="E362" t="s">
        <v>387</v>
      </c>
      <c r="F362">
        <v>-3.2669999999999999</v>
      </c>
      <c r="G362">
        <v>-4.4999999999999998E-2</v>
      </c>
      <c r="H362">
        <v>-3.7770000000000001</v>
      </c>
      <c r="I362">
        <v>-1.4159999999999999</v>
      </c>
      <c r="J362">
        <v>1.2999999999999999E-2</v>
      </c>
      <c r="K362">
        <v>-0.876</v>
      </c>
      <c r="L362" s="2">
        <v>-4.0000000000000001E-3</v>
      </c>
      <c r="N362">
        <v>0.92200000000000004</v>
      </c>
      <c r="P362">
        <v>-1.004</v>
      </c>
      <c r="Q362">
        <v>1.2E-2</v>
      </c>
      <c r="R362">
        <v>-1.0999999999999999E-2</v>
      </c>
      <c r="S362">
        <v>0.90600000000000003</v>
      </c>
      <c r="T362">
        <v>0.98699999999999999</v>
      </c>
    </row>
    <row r="363" spans="1:20" x14ac:dyDescent="0.2">
      <c r="A363" t="s">
        <v>106</v>
      </c>
      <c r="B363" t="s">
        <v>667</v>
      </c>
      <c r="C363">
        <v>946</v>
      </c>
      <c r="D363" t="s">
        <v>548</v>
      </c>
      <c r="E363" t="s">
        <v>6</v>
      </c>
      <c r="F363">
        <v>3.0950000000000002</v>
      </c>
      <c r="G363">
        <v>-0.23899999999999999</v>
      </c>
      <c r="H363">
        <v>-2.3039999999999998</v>
      </c>
      <c r="I363">
        <v>-0.73599999999999999</v>
      </c>
      <c r="J363">
        <v>1.2999999999999999E-2</v>
      </c>
      <c r="K363">
        <v>-0.876</v>
      </c>
      <c r="L363" s="2">
        <v>-0.27800000000000002</v>
      </c>
      <c r="N363">
        <v>0.65800000000000003</v>
      </c>
      <c r="O363">
        <v>0.65</v>
      </c>
      <c r="P363">
        <v>-0.872</v>
      </c>
      <c r="Q363">
        <v>1.2E-2</v>
      </c>
      <c r="R363">
        <v>-1.0999999999999999E-2</v>
      </c>
      <c r="S363">
        <v>0.63</v>
      </c>
      <c r="T363">
        <v>0.71099999999999997</v>
      </c>
    </row>
    <row r="364" spans="1:20" x14ac:dyDescent="0.2">
      <c r="A364" t="s">
        <v>106</v>
      </c>
      <c r="B364" t="s">
        <v>668</v>
      </c>
      <c r="C364">
        <v>950</v>
      </c>
      <c r="D364" t="s">
        <v>549</v>
      </c>
      <c r="E364" t="s">
        <v>37</v>
      </c>
      <c r="F364">
        <v>17.141999999999999</v>
      </c>
      <c r="G364">
        <v>-0.378</v>
      </c>
      <c r="H364">
        <v>38.497</v>
      </c>
      <c r="I364">
        <v>14.798</v>
      </c>
      <c r="J364">
        <v>1.2999999999999999E-2</v>
      </c>
      <c r="K364">
        <v>-0.876</v>
      </c>
      <c r="L364" s="2">
        <v>-0.59399999999999997</v>
      </c>
      <c r="N364">
        <v>0.35299999999999998</v>
      </c>
      <c r="O364">
        <v>0.35199999999999998</v>
      </c>
      <c r="P364">
        <v>-0.373</v>
      </c>
      <c r="Q364">
        <v>1.2E-2</v>
      </c>
      <c r="R364">
        <v>-0.01</v>
      </c>
      <c r="S364">
        <v>0.311</v>
      </c>
      <c r="T364">
        <v>0.39200000000000002</v>
      </c>
    </row>
    <row r="365" spans="1:20" x14ac:dyDescent="0.2">
      <c r="A365" t="s">
        <v>581</v>
      </c>
      <c r="B365" t="s">
        <v>668</v>
      </c>
      <c r="C365">
        <v>954</v>
      </c>
      <c r="D365" t="s">
        <v>550</v>
      </c>
      <c r="E365" t="s">
        <v>212</v>
      </c>
      <c r="F365">
        <v>14.369</v>
      </c>
      <c r="G365">
        <v>-0.70199999999999996</v>
      </c>
      <c r="H365">
        <v>55.024999999999999</v>
      </c>
      <c r="I365">
        <v>21.215</v>
      </c>
      <c r="J365">
        <v>1.2999999999999999E-2</v>
      </c>
      <c r="K365">
        <v>-0.876</v>
      </c>
      <c r="L365" s="2">
        <v>-0.88300000000000001</v>
      </c>
      <c r="N365">
        <v>7.3999999999999996E-2</v>
      </c>
      <c r="P365">
        <v>-3.6999999999999998E-2</v>
      </c>
      <c r="Q365">
        <v>1.2E-2</v>
      </c>
      <c r="R365">
        <v>-8.9999999999999993E-3</v>
      </c>
      <c r="S365">
        <v>0.02</v>
      </c>
      <c r="T365">
        <v>0.10100000000000001</v>
      </c>
    </row>
    <row r="366" spans="1:20" x14ac:dyDescent="0.2">
      <c r="A366" t="s">
        <v>582</v>
      </c>
      <c r="B366" t="s">
        <v>668</v>
      </c>
      <c r="C366">
        <v>955</v>
      </c>
      <c r="D366" t="s">
        <v>551</v>
      </c>
      <c r="E366" t="s">
        <v>387</v>
      </c>
      <c r="F366">
        <v>-3.2210000000000001</v>
      </c>
      <c r="G366">
        <v>-5.7000000000000002E-2</v>
      </c>
      <c r="H366">
        <v>-3.419</v>
      </c>
      <c r="I366">
        <v>-1.1679999999999999</v>
      </c>
      <c r="J366">
        <v>1.2999999999999999E-2</v>
      </c>
      <c r="K366">
        <v>-0.876</v>
      </c>
      <c r="L366" s="2">
        <v>-1.6E-2</v>
      </c>
      <c r="N366">
        <v>0.91100000000000003</v>
      </c>
      <c r="P366">
        <v>-0.93600000000000005</v>
      </c>
      <c r="Q366">
        <v>1.2E-2</v>
      </c>
      <c r="R366">
        <v>-8.9999999999999993E-3</v>
      </c>
      <c r="S366">
        <v>0.89200000000000002</v>
      </c>
      <c r="T366">
        <v>0.97299999999999998</v>
      </c>
    </row>
    <row r="367" spans="1:20" x14ac:dyDescent="0.2">
      <c r="A367" t="s">
        <v>106</v>
      </c>
      <c r="B367" t="s">
        <v>668</v>
      </c>
      <c r="C367">
        <v>956</v>
      </c>
      <c r="D367" t="s">
        <v>552</v>
      </c>
      <c r="E367" t="s">
        <v>6</v>
      </c>
      <c r="F367">
        <v>2.9820000000000002</v>
      </c>
      <c r="G367">
        <v>-0.249</v>
      </c>
      <c r="H367">
        <v>-2.5259999999999998</v>
      </c>
      <c r="I367">
        <v>-0.70799999999999996</v>
      </c>
      <c r="J367">
        <v>1.2999999999999999E-2</v>
      </c>
      <c r="K367">
        <v>-0.876</v>
      </c>
      <c r="L367" s="2">
        <v>-0.28699999999999998</v>
      </c>
      <c r="N367">
        <v>0.65</v>
      </c>
      <c r="O367">
        <v>0.65</v>
      </c>
      <c r="P367">
        <v>-0.80900000000000005</v>
      </c>
      <c r="Q367">
        <v>1.2E-2</v>
      </c>
      <c r="R367">
        <v>-8.9999999999999993E-3</v>
      </c>
      <c r="S367">
        <v>0.62</v>
      </c>
      <c r="T367">
        <v>0.70099999999999996</v>
      </c>
    </row>
    <row r="368" spans="1:20" x14ac:dyDescent="0.2">
      <c r="A368" t="s">
        <v>106</v>
      </c>
      <c r="B368" t="s">
        <v>669</v>
      </c>
      <c r="C368">
        <v>960</v>
      </c>
      <c r="D368" t="s">
        <v>553</v>
      </c>
      <c r="E368" t="s">
        <v>37</v>
      </c>
      <c r="F368">
        <v>17.097999999999999</v>
      </c>
      <c r="G368">
        <v>-0.36699999999999999</v>
      </c>
      <c r="H368">
        <v>38.777000000000001</v>
      </c>
      <c r="I368">
        <v>15.183999999999999</v>
      </c>
      <c r="J368">
        <v>1.2999999999999999E-2</v>
      </c>
      <c r="K368">
        <v>-0.876</v>
      </c>
      <c r="L368" s="2">
        <v>-0.58399999999999996</v>
      </c>
      <c r="N368">
        <v>0.36299999999999999</v>
      </c>
      <c r="O368">
        <v>0.35199999999999998</v>
      </c>
      <c r="P368">
        <v>-9.7000000000000003E-2</v>
      </c>
      <c r="Q368">
        <v>1.2E-2</v>
      </c>
      <c r="R368">
        <v>-8.0000000000000002E-3</v>
      </c>
      <c r="S368">
        <v>0.32100000000000001</v>
      </c>
      <c r="T368">
        <v>0.40200000000000002</v>
      </c>
    </row>
    <row r="369" spans="1:20" x14ac:dyDescent="0.2">
      <c r="A369" t="s">
        <v>581</v>
      </c>
      <c r="B369" t="s">
        <v>670</v>
      </c>
      <c r="C369">
        <v>963</v>
      </c>
      <c r="D369" t="s">
        <v>554</v>
      </c>
      <c r="E369" t="s">
        <v>555</v>
      </c>
      <c r="F369">
        <v>-0.86399999999999999</v>
      </c>
      <c r="G369">
        <v>-0.873</v>
      </c>
      <c r="H369">
        <v>6.0789999999999997</v>
      </c>
      <c r="I369">
        <v>2.9470000000000001</v>
      </c>
      <c r="J369">
        <v>1.2999999999999999E-2</v>
      </c>
      <c r="K369">
        <v>-0.877</v>
      </c>
      <c r="L369" s="2">
        <v>-0.86199999999999999</v>
      </c>
      <c r="N369">
        <v>9.5000000000000001E-2</v>
      </c>
      <c r="P369">
        <v>-0.34499999999999997</v>
      </c>
      <c r="Q369">
        <v>1.2E-2</v>
      </c>
      <c r="R369">
        <v>-8.0000000000000002E-3</v>
      </c>
      <c r="S369">
        <v>4.2000000000000003E-2</v>
      </c>
      <c r="T369">
        <v>0.123</v>
      </c>
    </row>
    <row r="370" spans="1:20" x14ac:dyDescent="0.2">
      <c r="A370" t="s">
        <v>106</v>
      </c>
      <c r="B370" t="s">
        <v>670</v>
      </c>
      <c r="C370">
        <v>965</v>
      </c>
      <c r="D370" t="s">
        <v>556</v>
      </c>
      <c r="E370" t="s">
        <v>6</v>
      </c>
      <c r="F370">
        <v>3.044</v>
      </c>
      <c r="G370">
        <v>-0.249</v>
      </c>
      <c r="H370">
        <v>-2.3559999999999999</v>
      </c>
      <c r="I370">
        <v>-0.73399999999999999</v>
      </c>
      <c r="J370">
        <v>1.2999999999999999E-2</v>
      </c>
      <c r="K370">
        <v>-0.877</v>
      </c>
      <c r="L370" s="2">
        <v>-0.28799999999999998</v>
      </c>
      <c r="N370">
        <v>0.64900000000000002</v>
      </c>
      <c r="O370">
        <v>0.65</v>
      </c>
      <c r="P370">
        <v>-0.94299999999999995</v>
      </c>
      <c r="Q370">
        <v>1.2E-2</v>
      </c>
      <c r="R370">
        <v>-7.0000000000000001E-3</v>
      </c>
      <c r="S370">
        <v>0.61799999999999999</v>
      </c>
      <c r="T370">
        <v>0.69899999999999995</v>
      </c>
    </row>
    <row r="371" spans="1:20" x14ac:dyDescent="0.2">
      <c r="A371" t="s">
        <v>581</v>
      </c>
      <c r="B371" t="s">
        <v>671</v>
      </c>
      <c r="C371">
        <v>970</v>
      </c>
      <c r="D371" t="s">
        <v>557</v>
      </c>
      <c r="E371" t="s">
        <v>66</v>
      </c>
      <c r="F371">
        <v>-0.65100000000000002</v>
      </c>
      <c r="G371">
        <v>-0.87</v>
      </c>
      <c r="H371">
        <v>6.9509999999999996</v>
      </c>
      <c r="I371">
        <v>4.4640000000000004</v>
      </c>
      <c r="J371">
        <v>1.2999999999999999E-2</v>
      </c>
      <c r="K371">
        <v>-0.877</v>
      </c>
      <c r="L371" s="2">
        <v>-0.86199999999999999</v>
      </c>
      <c r="N371">
        <v>9.6000000000000002E-2</v>
      </c>
      <c r="P371">
        <v>0.82499999999999996</v>
      </c>
      <c r="Q371">
        <v>1.2E-2</v>
      </c>
      <c r="R371">
        <v>-6.0000000000000001E-3</v>
      </c>
      <c r="S371">
        <v>4.2000000000000003E-2</v>
      </c>
      <c r="T371">
        <v>0.123</v>
      </c>
    </row>
    <row r="372" spans="1:20" x14ac:dyDescent="0.2">
      <c r="A372" t="s">
        <v>106</v>
      </c>
      <c r="B372" t="s">
        <v>671</v>
      </c>
      <c r="C372">
        <v>973</v>
      </c>
      <c r="D372" t="s">
        <v>558</v>
      </c>
      <c r="E372" t="s">
        <v>12</v>
      </c>
      <c r="F372">
        <v>17.515000000000001</v>
      </c>
      <c r="G372">
        <v>-0.38400000000000001</v>
      </c>
      <c r="H372">
        <v>39.426000000000002</v>
      </c>
      <c r="I372">
        <v>15.22</v>
      </c>
      <c r="J372">
        <v>1.2999999999999999E-2</v>
      </c>
      <c r="K372">
        <v>-0.877</v>
      </c>
      <c r="L372" s="2">
        <v>-0.60799999999999998</v>
      </c>
      <c r="N372">
        <v>0.34</v>
      </c>
      <c r="O372">
        <v>0.35199999999999998</v>
      </c>
      <c r="P372">
        <v>-0.29199999999999998</v>
      </c>
      <c r="Q372">
        <v>1.2E-2</v>
      </c>
      <c r="R372">
        <v>-6.0000000000000001E-3</v>
      </c>
      <c r="S372">
        <v>0.29599999999999999</v>
      </c>
      <c r="T372">
        <v>0.377</v>
      </c>
    </row>
    <row r="373" spans="1:20" x14ac:dyDescent="0.2">
      <c r="A373" t="s">
        <v>582</v>
      </c>
      <c r="B373" t="s">
        <v>672</v>
      </c>
      <c r="C373">
        <v>975</v>
      </c>
      <c r="D373" t="s">
        <v>559</v>
      </c>
      <c r="E373" t="s">
        <v>352</v>
      </c>
      <c r="F373">
        <v>15.66</v>
      </c>
      <c r="G373">
        <v>0.17799999999999999</v>
      </c>
      <c r="H373">
        <v>57.058</v>
      </c>
      <c r="I373">
        <v>21.33</v>
      </c>
      <c r="J373">
        <v>1.2999999999999999E-2</v>
      </c>
      <c r="K373">
        <v>-0.877</v>
      </c>
      <c r="L373" s="2">
        <v>-2.3E-2</v>
      </c>
      <c r="N373">
        <v>0.90500000000000003</v>
      </c>
      <c r="P373">
        <v>-0.61399999999999999</v>
      </c>
      <c r="Q373">
        <v>1.2E-2</v>
      </c>
      <c r="R373">
        <v>-5.0000000000000001E-3</v>
      </c>
      <c r="S373">
        <v>0.88200000000000001</v>
      </c>
      <c r="T373">
        <v>0.96299999999999997</v>
      </c>
    </row>
    <row r="374" spans="1:20" x14ac:dyDescent="0.2">
      <c r="A374" t="s">
        <v>106</v>
      </c>
      <c r="B374" t="s">
        <v>673</v>
      </c>
      <c r="C374">
        <v>980</v>
      </c>
      <c r="D374" t="s">
        <v>560</v>
      </c>
      <c r="E374" t="s">
        <v>6</v>
      </c>
      <c r="F374">
        <v>2.9279999999999999</v>
      </c>
      <c r="G374">
        <v>-0.27100000000000002</v>
      </c>
      <c r="H374">
        <v>-2.653</v>
      </c>
      <c r="I374">
        <v>-0.81299999999999994</v>
      </c>
      <c r="J374">
        <v>1.2999999999999999E-2</v>
      </c>
      <c r="K374">
        <v>-0.877</v>
      </c>
      <c r="L374" s="2">
        <v>-0.309</v>
      </c>
      <c r="N374">
        <v>0.629</v>
      </c>
      <c r="O374">
        <v>0.65</v>
      </c>
      <c r="P374">
        <v>-0.995</v>
      </c>
      <c r="Q374">
        <v>1.2E-2</v>
      </c>
      <c r="R374">
        <v>-4.0000000000000001E-3</v>
      </c>
      <c r="S374">
        <v>0.59499999999999997</v>
      </c>
      <c r="T374">
        <v>0.67600000000000005</v>
      </c>
    </row>
    <row r="375" spans="1:20" x14ac:dyDescent="0.2">
      <c r="A375" t="s">
        <v>581</v>
      </c>
      <c r="B375" t="s">
        <v>673</v>
      </c>
      <c r="C375">
        <v>981</v>
      </c>
      <c r="D375" t="s">
        <v>561</v>
      </c>
      <c r="E375" t="s">
        <v>163</v>
      </c>
      <c r="F375">
        <v>15.525</v>
      </c>
      <c r="G375">
        <v>-0.68200000000000005</v>
      </c>
      <c r="H375">
        <v>58.301000000000002</v>
      </c>
      <c r="I375">
        <v>22.263999999999999</v>
      </c>
      <c r="J375">
        <v>1.2999999999999999E-2</v>
      </c>
      <c r="K375">
        <v>-0.877</v>
      </c>
      <c r="L375" s="2">
        <v>-0.88200000000000001</v>
      </c>
      <c r="N375">
        <v>7.6999999999999999E-2</v>
      </c>
      <c r="P375">
        <v>-0.104</v>
      </c>
      <c r="Q375">
        <v>1.2E-2</v>
      </c>
      <c r="R375">
        <v>-4.0000000000000001E-3</v>
      </c>
      <c r="S375">
        <v>2.3E-2</v>
      </c>
      <c r="T375">
        <v>0.104</v>
      </c>
    </row>
    <row r="376" spans="1:20" x14ac:dyDescent="0.2">
      <c r="A376" t="s">
        <v>106</v>
      </c>
      <c r="B376" t="s">
        <v>674</v>
      </c>
      <c r="C376">
        <v>986</v>
      </c>
      <c r="D376" t="s">
        <v>562</v>
      </c>
      <c r="E376" t="s">
        <v>12</v>
      </c>
      <c r="F376">
        <v>17.606000000000002</v>
      </c>
      <c r="G376">
        <v>-0.379</v>
      </c>
      <c r="H376">
        <v>39.656999999999996</v>
      </c>
      <c r="I376">
        <v>15.266999999999999</v>
      </c>
      <c r="J376">
        <v>1.2999999999999999E-2</v>
      </c>
      <c r="K376">
        <v>-0.878</v>
      </c>
      <c r="L376" s="2">
        <v>-0.60599999999999998</v>
      </c>
      <c r="N376">
        <v>0.34300000000000003</v>
      </c>
      <c r="O376">
        <v>0.35199999999999998</v>
      </c>
      <c r="P376">
        <v>-0.30499999999999999</v>
      </c>
      <c r="Q376">
        <v>1.2E-2</v>
      </c>
      <c r="R376">
        <v>-3.0000000000000001E-3</v>
      </c>
      <c r="S376">
        <v>0.29799999999999999</v>
      </c>
      <c r="T376">
        <v>0.379</v>
      </c>
    </row>
    <row r="377" spans="1:20" x14ac:dyDescent="0.2">
      <c r="A377" t="s">
        <v>582</v>
      </c>
      <c r="B377" t="s">
        <v>675</v>
      </c>
      <c r="C377">
        <v>991</v>
      </c>
      <c r="D377" t="s">
        <v>563</v>
      </c>
      <c r="E377" t="s">
        <v>354</v>
      </c>
      <c r="F377">
        <v>-3.141</v>
      </c>
      <c r="G377">
        <v>-3.4000000000000002E-2</v>
      </c>
      <c r="H377">
        <v>-3.5870000000000002</v>
      </c>
      <c r="I377">
        <v>-1.46</v>
      </c>
      <c r="J377">
        <v>1.2999999999999999E-2</v>
      </c>
      <c r="K377">
        <v>-0.878</v>
      </c>
      <c r="L377" s="2">
        <v>7.0000000000000001E-3</v>
      </c>
      <c r="N377">
        <v>0.93300000000000005</v>
      </c>
      <c r="P377">
        <v>-1.369</v>
      </c>
      <c r="Q377">
        <v>1.2E-2</v>
      </c>
      <c r="R377">
        <v>-2E-3</v>
      </c>
      <c r="S377">
        <v>0.90800000000000003</v>
      </c>
      <c r="T377">
        <v>0.98899999999999999</v>
      </c>
    </row>
    <row r="378" spans="1:20" x14ac:dyDescent="0.2">
      <c r="A378" t="s">
        <v>581</v>
      </c>
      <c r="B378" t="s">
        <v>675</v>
      </c>
      <c r="C378">
        <v>992</v>
      </c>
      <c r="D378" t="s">
        <v>564</v>
      </c>
      <c r="E378" t="s">
        <v>163</v>
      </c>
      <c r="F378">
        <v>15.452</v>
      </c>
      <c r="G378">
        <v>-0.68799999999999994</v>
      </c>
      <c r="H378">
        <v>57.957999999999998</v>
      </c>
      <c r="I378">
        <v>22.353999999999999</v>
      </c>
      <c r="J378">
        <v>1.2999999999999999E-2</v>
      </c>
      <c r="K378">
        <v>-0.878</v>
      </c>
      <c r="L378" s="2">
        <v>-0.88800000000000001</v>
      </c>
      <c r="N378">
        <v>7.0999999999999994E-2</v>
      </c>
      <c r="P378">
        <v>0.18</v>
      </c>
      <c r="Q378">
        <v>1.2E-2</v>
      </c>
      <c r="R378">
        <v>-2E-3</v>
      </c>
      <c r="S378">
        <v>1.7000000000000001E-2</v>
      </c>
      <c r="T378">
        <v>9.8000000000000004E-2</v>
      </c>
    </row>
    <row r="379" spans="1:20" x14ac:dyDescent="0.2">
      <c r="A379" t="s">
        <v>106</v>
      </c>
      <c r="B379" t="s">
        <v>676</v>
      </c>
      <c r="C379">
        <v>995</v>
      </c>
      <c r="D379" t="s">
        <v>565</v>
      </c>
      <c r="E379" t="s">
        <v>6</v>
      </c>
      <c r="F379">
        <v>2.8319999999999999</v>
      </c>
      <c r="G379">
        <v>-0.25800000000000001</v>
      </c>
      <c r="H379">
        <v>-2.4870000000000001</v>
      </c>
      <c r="I379">
        <v>-0.64200000000000002</v>
      </c>
      <c r="J379">
        <v>1.2999999999999999E-2</v>
      </c>
      <c r="K379">
        <v>-0.878</v>
      </c>
      <c r="L379" s="2">
        <v>-0.29499999999999998</v>
      </c>
      <c r="N379">
        <v>0.64300000000000002</v>
      </c>
      <c r="O379">
        <v>0.65</v>
      </c>
      <c r="P379">
        <v>-0.97299999999999998</v>
      </c>
      <c r="Q379">
        <v>1.2E-2</v>
      </c>
      <c r="R379">
        <v>-1E-3</v>
      </c>
      <c r="S379">
        <v>0.60699999999999998</v>
      </c>
      <c r="T379">
        <v>0.68799999999999994</v>
      </c>
    </row>
    <row r="380" spans="1:20" x14ac:dyDescent="0.2">
      <c r="A380" t="s">
        <v>106</v>
      </c>
      <c r="B380" t="s">
        <v>677</v>
      </c>
      <c r="C380">
        <v>999</v>
      </c>
      <c r="D380" t="s">
        <v>566</v>
      </c>
      <c r="E380" t="s">
        <v>6</v>
      </c>
      <c r="F380">
        <v>3.1680000000000001</v>
      </c>
      <c r="G380">
        <v>-0.24</v>
      </c>
      <c r="H380">
        <v>-1.9330000000000001</v>
      </c>
      <c r="I380">
        <v>-0.58199999999999996</v>
      </c>
      <c r="J380">
        <v>1.2999999999999999E-2</v>
      </c>
      <c r="K380">
        <v>-0.878</v>
      </c>
      <c r="L380" s="2">
        <v>-0.28100000000000003</v>
      </c>
      <c r="N380">
        <v>0.65600000000000003</v>
      </c>
      <c r="O380">
        <v>0.65</v>
      </c>
      <c r="P380">
        <v>-1.137</v>
      </c>
      <c r="Q380">
        <v>1.2E-2</v>
      </c>
      <c r="R380">
        <v>0</v>
      </c>
      <c r="S380">
        <v>0.62</v>
      </c>
      <c r="T380">
        <v>0.70099999999999996</v>
      </c>
    </row>
    <row r="381" spans="1:20" x14ac:dyDescent="0.2">
      <c r="A381" t="s">
        <v>582</v>
      </c>
      <c r="B381" t="s">
        <v>677</v>
      </c>
      <c r="C381">
        <v>1000</v>
      </c>
      <c r="D381" t="s">
        <v>567</v>
      </c>
      <c r="E381" t="s">
        <v>360</v>
      </c>
      <c r="F381">
        <v>15.724</v>
      </c>
      <c r="G381">
        <v>0.17599999999999999</v>
      </c>
      <c r="H381">
        <v>57.526000000000003</v>
      </c>
      <c r="I381">
        <v>21.475000000000001</v>
      </c>
      <c r="J381">
        <v>1.2999999999999999E-2</v>
      </c>
      <c r="K381">
        <v>-0.878</v>
      </c>
      <c r="L381" s="2">
        <v>-2.8000000000000001E-2</v>
      </c>
      <c r="N381">
        <v>0.89900000000000002</v>
      </c>
      <c r="P381">
        <v>-0.48299999999999998</v>
      </c>
      <c r="Q381">
        <v>1.2E-2</v>
      </c>
      <c r="R381">
        <v>0</v>
      </c>
      <c r="S381">
        <v>0.871</v>
      </c>
      <c r="T381">
        <v>0.95199999999999996</v>
      </c>
    </row>
    <row r="382" spans="1:20" x14ac:dyDescent="0.2">
      <c r="A382" t="s">
        <v>581</v>
      </c>
      <c r="B382" t="s">
        <v>678</v>
      </c>
      <c r="C382">
        <v>1002</v>
      </c>
      <c r="D382" t="s">
        <v>568</v>
      </c>
      <c r="E382" t="s">
        <v>212</v>
      </c>
      <c r="F382">
        <v>14.762</v>
      </c>
      <c r="G382">
        <v>-0.67</v>
      </c>
      <c r="H382">
        <v>56.72</v>
      </c>
      <c r="I382">
        <v>21.702000000000002</v>
      </c>
      <c r="J382">
        <v>1.2999999999999999E-2</v>
      </c>
      <c r="K382">
        <v>-0.878</v>
      </c>
      <c r="L382" s="2">
        <v>-0.86199999999999999</v>
      </c>
      <c r="N382">
        <v>9.7000000000000003E-2</v>
      </c>
      <c r="P382">
        <v>5.0999999999999997E-2</v>
      </c>
      <c r="Q382">
        <v>1.2E-2</v>
      </c>
      <c r="R382">
        <v>0</v>
      </c>
      <c r="S382">
        <v>4.2999999999999997E-2</v>
      </c>
      <c r="T382">
        <v>0.124</v>
      </c>
    </row>
    <row r="384" spans="1:20" x14ac:dyDescent="0.2">
      <c r="A384" t="s">
        <v>569</v>
      </c>
    </row>
    <row r="385" spans="1:8" x14ac:dyDescent="0.2">
      <c r="A385" t="s">
        <v>570</v>
      </c>
    </row>
    <row r="386" spans="1:8" x14ac:dyDescent="0.2">
      <c r="A386" t="s">
        <v>628</v>
      </c>
    </row>
    <row r="387" spans="1:8" x14ac:dyDescent="0.2">
      <c r="A387" t="s">
        <v>629</v>
      </c>
    </row>
    <row r="388" spans="1:8" x14ac:dyDescent="0.2">
      <c r="A388" t="s">
        <v>630</v>
      </c>
    </row>
    <row r="389" spans="1:8" x14ac:dyDescent="0.2">
      <c r="A389" t="s">
        <v>571</v>
      </c>
      <c r="H389" t="s">
        <v>572</v>
      </c>
    </row>
    <row r="390" spans="1:8" x14ac:dyDescent="0.2">
      <c r="A390" t="s">
        <v>573</v>
      </c>
    </row>
    <row r="391" spans="1:8" x14ac:dyDescent="0.2">
      <c r="A391" t="s">
        <v>631</v>
      </c>
    </row>
    <row r="392" spans="1:8" x14ac:dyDescent="0.2">
      <c r="A392" t="s">
        <v>627</v>
      </c>
      <c r="D392" t="s">
        <v>574</v>
      </c>
    </row>
    <row r="393" spans="1:8" x14ac:dyDescent="0.2">
      <c r="A393" t="s">
        <v>575</v>
      </c>
    </row>
    <row r="394" spans="1:8" x14ac:dyDescent="0.2">
      <c r="E394" t="s">
        <v>576</v>
      </c>
    </row>
    <row r="395" spans="1:8" x14ac:dyDescent="0.2">
      <c r="A395">
        <v>40</v>
      </c>
      <c r="C395" t="s">
        <v>577</v>
      </c>
    </row>
    <row r="396" spans="1:8" x14ac:dyDescent="0.2">
      <c r="B396" t="s">
        <v>578</v>
      </c>
    </row>
    <row r="397" spans="1:8" x14ac:dyDescent="0.2">
      <c r="A397">
        <v>30</v>
      </c>
    </row>
    <row r="398" spans="1:8" x14ac:dyDescent="0.2">
      <c r="A398" t="s">
        <v>579</v>
      </c>
    </row>
    <row r="399" spans="1:8" x14ac:dyDescent="0.2">
      <c r="A399">
        <v>20</v>
      </c>
    </row>
  </sheetData>
  <autoFilter ref="A1:T399" xr:uid="{ADF7DC3A-F9D4-6847-8962-931804F0E1E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A3B63-9911-4340-BD9B-F6AD6FC1E8F4}">
  <dimension ref="A1:T92"/>
  <sheetViews>
    <sheetView workbookViewId="0">
      <selection activeCell="T1" activeCellId="1" sqref="E1:E1048576 T1:T1048576"/>
    </sheetView>
  </sheetViews>
  <sheetFormatPr baseColWidth="10" defaultRowHeight="16" x14ac:dyDescent="0.2"/>
  <cols>
    <col min="20" max="20" width="10.83203125" style="4"/>
  </cols>
  <sheetData>
    <row r="1" spans="1:20" x14ac:dyDescent="0.2">
      <c r="A1" t="s">
        <v>610</v>
      </c>
      <c r="B1" t="s">
        <v>611</v>
      </c>
      <c r="C1" t="s">
        <v>612</v>
      </c>
      <c r="D1" t="s">
        <v>0</v>
      </c>
      <c r="E1" t="s">
        <v>1</v>
      </c>
      <c r="F1" t="s">
        <v>616</v>
      </c>
      <c r="G1" t="s">
        <v>613</v>
      </c>
      <c r="H1" t="s">
        <v>615</v>
      </c>
      <c r="I1" t="s">
        <v>614</v>
      </c>
      <c r="J1" t="s">
        <v>617</v>
      </c>
      <c r="K1" t="s">
        <v>618</v>
      </c>
      <c r="L1" s="2" t="s">
        <v>680</v>
      </c>
      <c r="M1" t="s">
        <v>620</v>
      </c>
      <c r="N1" t="s">
        <v>621</v>
      </c>
      <c r="O1" t="s">
        <v>622</v>
      </c>
      <c r="P1" t="s">
        <v>623</v>
      </c>
      <c r="Q1" t="s">
        <v>624</v>
      </c>
      <c r="R1" t="s">
        <v>625</v>
      </c>
      <c r="S1" t="s">
        <v>679</v>
      </c>
      <c r="T1" s="4" t="s">
        <v>626</v>
      </c>
    </row>
    <row r="2" spans="1:20" x14ac:dyDescent="0.2">
      <c r="A2" s="1" t="s">
        <v>102</v>
      </c>
      <c r="B2" s="1" t="s">
        <v>603</v>
      </c>
      <c r="C2" s="1">
        <v>258</v>
      </c>
      <c r="D2" s="1" t="s">
        <v>69</v>
      </c>
      <c r="E2" s="1" t="s">
        <v>70</v>
      </c>
      <c r="F2" s="1">
        <v>1.448</v>
      </c>
      <c r="G2" s="1">
        <v>-0.249</v>
      </c>
      <c r="H2" s="1">
        <v>9.8740000000000006</v>
      </c>
      <c r="I2" s="1">
        <v>0.74199999999999999</v>
      </c>
      <c r="J2" s="1">
        <v>-1E-3</v>
      </c>
      <c r="K2" s="1">
        <v>-0.83899999999999997</v>
      </c>
      <c r="L2" s="3">
        <v>-0.248</v>
      </c>
      <c r="M2" s="1">
        <v>0.59599999999999997</v>
      </c>
      <c r="N2" s="1">
        <v>0.67700000000000005</v>
      </c>
      <c r="O2" s="1"/>
      <c r="P2" s="1">
        <v>-0.33300000000000002</v>
      </c>
      <c r="Q2" s="1">
        <v>0</v>
      </c>
      <c r="R2" s="1">
        <v>0</v>
      </c>
      <c r="S2" s="1">
        <v>0.65300000000000002</v>
      </c>
      <c r="T2" s="4">
        <f>S2+0.088</f>
        <v>0.74099999999999999</v>
      </c>
    </row>
    <row r="3" spans="1:20" x14ac:dyDescent="0.2">
      <c r="A3" s="1" t="s">
        <v>102</v>
      </c>
      <c r="B3" s="1" t="s">
        <v>603</v>
      </c>
      <c r="C3" s="1">
        <v>259</v>
      </c>
      <c r="D3" s="1" t="s">
        <v>71</v>
      </c>
      <c r="E3" s="1" t="s">
        <v>72</v>
      </c>
      <c r="F3" s="1">
        <v>1.698</v>
      </c>
      <c r="G3" s="1">
        <v>-0.247</v>
      </c>
      <c r="H3" s="1">
        <v>9.93</v>
      </c>
      <c r="I3" s="1">
        <v>0.71099999999999997</v>
      </c>
      <c r="J3" s="1">
        <v>-1E-3</v>
      </c>
      <c r="K3" s="1">
        <v>-0.83899999999999997</v>
      </c>
      <c r="L3" s="3">
        <v>-0.246</v>
      </c>
      <c r="M3" s="1">
        <v>0.59799999999999998</v>
      </c>
      <c r="N3" s="1">
        <v>0.67900000000000005</v>
      </c>
      <c r="O3" s="1"/>
      <c r="P3" s="1">
        <v>-0.37</v>
      </c>
      <c r="Q3" s="1">
        <v>0</v>
      </c>
      <c r="R3" s="1">
        <v>0</v>
      </c>
      <c r="S3" s="1">
        <v>0.65500000000000003</v>
      </c>
      <c r="T3" s="4">
        <f t="shared" ref="T3:T66" si="0">S3+0.088</f>
        <v>0.74299999999999999</v>
      </c>
    </row>
    <row r="4" spans="1:20" x14ac:dyDescent="0.2">
      <c r="A4" s="1" t="s">
        <v>102</v>
      </c>
      <c r="B4" s="1" t="s">
        <v>604</v>
      </c>
      <c r="C4" s="1">
        <v>260</v>
      </c>
      <c r="D4" s="1" t="s">
        <v>73</v>
      </c>
      <c r="E4" s="1" t="s">
        <v>74</v>
      </c>
      <c r="F4" s="1">
        <v>3.028</v>
      </c>
      <c r="G4" s="1">
        <v>-0.248</v>
      </c>
      <c r="H4" s="1">
        <v>10.023</v>
      </c>
      <c r="I4" s="1">
        <v>0.72599999999999998</v>
      </c>
      <c r="J4" s="1">
        <v>-1E-3</v>
      </c>
      <c r="K4" s="1">
        <v>-0.83899999999999997</v>
      </c>
      <c r="L4" s="3">
        <v>-0.245</v>
      </c>
      <c r="M4" s="1">
        <v>0.59799999999999998</v>
      </c>
      <c r="N4" s="1">
        <v>0.67900000000000005</v>
      </c>
      <c r="O4" s="1"/>
      <c r="P4" s="1">
        <v>-0.36299999999999999</v>
      </c>
      <c r="Q4" s="1">
        <v>0</v>
      </c>
      <c r="R4" s="1">
        <v>0</v>
      </c>
      <c r="S4" s="1">
        <v>0.65500000000000003</v>
      </c>
      <c r="T4" s="4">
        <f t="shared" si="0"/>
        <v>0.74299999999999999</v>
      </c>
    </row>
    <row r="5" spans="1:20" x14ac:dyDescent="0.2">
      <c r="A5" s="1" t="s">
        <v>102</v>
      </c>
      <c r="B5" s="1" t="s">
        <v>604</v>
      </c>
      <c r="C5" s="1">
        <v>261</v>
      </c>
      <c r="D5" s="1" t="s">
        <v>75</v>
      </c>
      <c r="E5" s="1" t="s">
        <v>74</v>
      </c>
      <c r="F5" s="1">
        <v>3.0640000000000001</v>
      </c>
      <c r="G5" s="1">
        <v>-0.25700000000000001</v>
      </c>
      <c r="H5" s="1">
        <v>10.137</v>
      </c>
      <c r="I5" s="1">
        <v>0.75700000000000001</v>
      </c>
      <c r="J5" s="1">
        <v>-1E-3</v>
      </c>
      <c r="K5" s="1">
        <v>-0.83899999999999997</v>
      </c>
      <c r="L5" s="3">
        <v>-0.254</v>
      </c>
      <c r="M5" s="1">
        <v>0.58899999999999997</v>
      </c>
      <c r="N5" s="1">
        <v>0.67</v>
      </c>
      <c r="O5" s="1"/>
      <c r="P5" s="1">
        <v>-0.34200000000000003</v>
      </c>
      <c r="Q5" s="1">
        <v>0</v>
      </c>
      <c r="R5" s="1">
        <v>-1E-3</v>
      </c>
      <c r="S5" s="1">
        <v>0.64600000000000002</v>
      </c>
      <c r="T5" s="4">
        <f t="shared" si="0"/>
        <v>0.73399999999999999</v>
      </c>
    </row>
    <row r="6" spans="1:20" x14ac:dyDescent="0.2">
      <c r="A6" s="1" t="s">
        <v>102</v>
      </c>
      <c r="B6" s="1" t="s">
        <v>605</v>
      </c>
      <c r="C6" s="1">
        <v>264</v>
      </c>
      <c r="D6" s="1" t="s">
        <v>79</v>
      </c>
      <c r="E6" s="1" t="s">
        <v>70</v>
      </c>
      <c r="F6" s="1">
        <v>1.3640000000000001</v>
      </c>
      <c r="G6" s="1">
        <v>-0.23</v>
      </c>
      <c r="H6" s="1">
        <v>9.7230000000000008</v>
      </c>
      <c r="I6" s="1">
        <v>0.72099999999999997</v>
      </c>
      <c r="J6" s="1">
        <v>-1E-3</v>
      </c>
      <c r="K6" s="1">
        <v>-0.83899999999999997</v>
      </c>
      <c r="L6" s="3">
        <v>-0.22900000000000001</v>
      </c>
      <c r="M6" s="1">
        <v>0.61499999999999999</v>
      </c>
      <c r="N6" s="1">
        <v>0.69599999999999995</v>
      </c>
      <c r="O6" s="1"/>
      <c r="P6" s="1">
        <v>-0.36399999999999999</v>
      </c>
      <c r="Q6" s="1">
        <v>0</v>
      </c>
      <c r="R6" s="1">
        <v>-1E-3</v>
      </c>
      <c r="S6" s="1">
        <v>0.67300000000000004</v>
      </c>
      <c r="T6" s="4">
        <f t="shared" si="0"/>
        <v>0.76100000000000001</v>
      </c>
    </row>
    <row r="7" spans="1:20" x14ac:dyDescent="0.2">
      <c r="A7" s="1" t="s">
        <v>102</v>
      </c>
      <c r="B7" s="1" t="s">
        <v>605</v>
      </c>
      <c r="C7" s="1">
        <v>265</v>
      </c>
      <c r="D7" s="1" t="s">
        <v>80</v>
      </c>
      <c r="E7" s="1" t="s">
        <v>74</v>
      </c>
      <c r="F7" s="1">
        <v>3.0209999999999999</v>
      </c>
      <c r="G7" s="1">
        <v>-0.22500000000000001</v>
      </c>
      <c r="H7" s="1">
        <v>10.108000000000001</v>
      </c>
      <c r="I7" s="1">
        <v>0.73099999999999998</v>
      </c>
      <c r="J7" s="1">
        <v>-1E-3</v>
      </c>
      <c r="K7" s="1">
        <v>-0.83899999999999997</v>
      </c>
      <c r="L7" s="3">
        <v>-0.223</v>
      </c>
      <c r="M7" s="1">
        <v>0.621</v>
      </c>
      <c r="N7" s="1">
        <v>0.70199999999999996</v>
      </c>
      <c r="O7" s="1"/>
      <c r="P7" s="1">
        <v>-0.378</v>
      </c>
      <c r="Q7" s="1">
        <v>0</v>
      </c>
      <c r="R7" s="1">
        <v>-1E-3</v>
      </c>
      <c r="S7" s="1">
        <v>0.68</v>
      </c>
      <c r="T7" s="4">
        <f t="shared" si="0"/>
        <v>0.76800000000000002</v>
      </c>
    </row>
    <row r="8" spans="1:20" x14ac:dyDescent="0.2">
      <c r="A8" s="1" t="s">
        <v>102</v>
      </c>
      <c r="B8" s="1" t="s">
        <v>605</v>
      </c>
      <c r="C8" s="1">
        <v>267</v>
      </c>
      <c r="D8" s="1" t="s">
        <v>81</v>
      </c>
      <c r="E8" s="1" t="s">
        <v>70</v>
      </c>
      <c r="F8" s="1">
        <v>1.405</v>
      </c>
      <c r="G8" s="1">
        <v>-0.27100000000000002</v>
      </c>
      <c r="H8" s="1">
        <v>9.7050000000000001</v>
      </c>
      <c r="I8" s="1">
        <v>0.60199999999999998</v>
      </c>
      <c r="J8" s="1">
        <v>-1E-3</v>
      </c>
      <c r="K8" s="1">
        <v>-0.83899999999999997</v>
      </c>
      <c r="L8" s="3">
        <v>-0.27</v>
      </c>
      <c r="M8" s="1">
        <v>0.57399999999999995</v>
      </c>
      <c r="N8" s="1">
        <v>0.65500000000000003</v>
      </c>
      <c r="O8" s="1"/>
      <c r="P8" s="1">
        <v>-0.49099999999999999</v>
      </c>
      <c r="Q8" s="1">
        <v>0</v>
      </c>
      <c r="R8" s="1">
        <v>-1E-3</v>
      </c>
      <c r="S8" s="1">
        <v>0.63</v>
      </c>
      <c r="T8" s="4">
        <f t="shared" si="0"/>
        <v>0.71799999999999997</v>
      </c>
    </row>
    <row r="9" spans="1:20" x14ac:dyDescent="0.2">
      <c r="A9" s="1" t="s">
        <v>102</v>
      </c>
      <c r="B9" s="1" t="s">
        <v>605</v>
      </c>
      <c r="C9" s="1">
        <v>268</v>
      </c>
      <c r="D9" s="1" t="s">
        <v>82</v>
      </c>
      <c r="E9" s="1" t="s">
        <v>72</v>
      </c>
      <c r="F9" s="1">
        <v>1.706</v>
      </c>
      <c r="G9" s="1">
        <v>-0.23300000000000001</v>
      </c>
      <c r="H9" s="1">
        <v>9.9339999999999993</v>
      </c>
      <c r="I9" s="1">
        <v>0.71</v>
      </c>
      <c r="J9" s="1">
        <v>-1E-3</v>
      </c>
      <c r="K9" s="1">
        <v>-0.84</v>
      </c>
      <c r="L9" s="3">
        <v>-0.23200000000000001</v>
      </c>
      <c r="M9" s="1">
        <v>0.61199999999999999</v>
      </c>
      <c r="N9" s="1">
        <v>0.69299999999999995</v>
      </c>
      <c r="O9" s="1"/>
      <c r="P9" s="1">
        <v>-0.39900000000000002</v>
      </c>
      <c r="Q9" s="1">
        <v>0</v>
      </c>
      <c r="R9" s="1">
        <v>-2E-3</v>
      </c>
      <c r="S9" s="1">
        <v>0.67100000000000004</v>
      </c>
      <c r="T9" s="4">
        <f t="shared" si="0"/>
        <v>0.75900000000000001</v>
      </c>
    </row>
    <row r="10" spans="1:20" x14ac:dyDescent="0.2">
      <c r="A10" s="1" t="s">
        <v>102</v>
      </c>
      <c r="B10" s="1" t="s">
        <v>606</v>
      </c>
      <c r="C10" s="1">
        <v>272</v>
      </c>
      <c r="D10" s="1" t="s">
        <v>88</v>
      </c>
      <c r="E10" s="1" t="s">
        <v>89</v>
      </c>
      <c r="F10" s="1">
        <v>1.331</v>
      </c>
      <c r="G10" s="1">
        <v>-0.254</v>
      </c>
      <c r="H10" s="1">
        <v>9.3409999999999993</v>
      </c>
      <c r="I10" s="1">
        <v>0.73199999999999998</v>
      </c>
      <c r="J10" s="1">
        <v>-1E-3</v>
      </c>
      <c r="K10" s="1">
        <v>-0.84</v>
      </c>
      <c r="L10" s="3">
        <v>-0.253</v>
      </c>
      <c r="M10" s="1">
        <v>0.59099999999999997</v>
      </c>
      <c r="N10" s="1">
        <v>0.67200000000000004</v>
      </c>
      <c r="O10" s="1"/>
      <c r="P10" s="1">
        <v>-0.35499999999999998</v>
      </c>
      <c r="Q10" s="1">
        <v>0</v>
      </c>
      <c r="R10" s="1">
        <v>-2E-3</v>
      </c>
      <c r="S10" s="1">
        <v>0.64900000000000002</v>
      </c>
      <c r="T10" s="4">
        <f t="shared" si="0"/>
        <v>0.73699999999999999</v>
      </c>
    </row>
    <row r="11" spans="1:20" x14ac:dyDescent="0.2">
      <c r="A11" s="1" t="s">
        <v>102</v>
      </c>
      <c r="B11" s="1" t="s">
        <v>606</v>
      </c>
      <c r="C11" s="1">
        <v>273</v>
      </c>
      <c r="D11" s="1" t="s">
        <v>90</v>
      </c>
      <c r="E11" s="1" t="s">
        <v>91</v>
      </c>
      <c r="F11" s="1">
        <v>0.871</v>
      </c>
      <c r="G11" s="1">
        <v>-0.24099999999999999</v>
      </c>
      <c r="H11" s="1">
        <v>8.8040000000000003</v>
      </c>
      <c r="I11" s="1">
        <v>0.73199999999999998</v>
      </c>
      <c r="J11" s="1">
        <v>-1E-3</v>
      </c>
      <c r="K11" s="1">
        <v>-0.84</v>
      </c>
      <c r="L11" s="3">
        <v>-0.24</v>
      </c>
      <c r="M11" s="1">
        <v>0.60299999999999998</v>
      </c>
      <c r="N11" s="1">
        <v>0.68400000000000005</v>
      </c>
      <c r="O11" s="1"/>
      <c r="P11" s="1">
        <v>-0.32700000000000001</v>
      </c>
      <c r="Q11" s="1">
        <v>0</v>
      </c>
      <c r="R11" s="1">
        <v>-2E-3</v>
      </c>
      <c r="S11" s="1">
        <v>0.66200000000000003</v>
      </c>
      <c r="T11" s="4">
        <f t="shared" si="0"/>
        <v>0.75</v>
      </c>
    </row>
    <row r="12" spans="1:20" x14ac:dyDescent="0.2">
      <c r="A12" s="1" t="s">
        <v>102</v>
      </c>
      <c r="B12" s="1" t="s">
        <v>606</v>
      </c>
      <c r="C12" s="1">
        <v>274</v>
      </c>
      <c r="D12" s="1" t="s">
        <v>92</v>
      </c>
      <c r="E12" s="1" t="s">
        <v>89</v>
      </c>
      <c r="F12" s="1">
        <v>1.3440000000000001</v>
      </c>
      <c r="G12" s="1">
        <v>-0.26500000000000001</v>
      </c>
      <c r="H12" s="1">
        <v>9.3320000000000007</v>
      </c>
      <c r="I12" s="1">
        <v>0.71</v>
      </c>
      <c r="J12" s="1">
        <v>-1E-3</v>
      </c>
      <c r="K12" s="1">
        <v>-0.84</v>
      </c>
      <c r="L12" s="3">
        <v>-0.26400000000000001</v>
      </c>
      <c r="M12" s="1">
        <v>0.57999999999999996</v>
      </c>
      <c r="N12" s="1">
        <v>0.66100000000000003</v>
      </c>
      <c r="O12" s="1"/>
      <c r="P12" s="1">
        <v>-0.38300000000000001</v>
      </c>
      <c r="Q12" s="1">
        <v>0</v>
      </c>
      <c r="R12" s="1">
        <v>-2E-3</v>
      </c>
      <c r="S12" s="1">
        <v>0.63700000000000001</v>
      </c>
      <c r="T12" s="4">
        <f t="shared" si="0"/>
        <v>0.72499999999999998</v>
      </c>
    </row>
    <row r="13" spans="1:20" x14ac:dyDescent="0.2">
      <c r="A13" s="1" t="s">
        <v>102</v>
      </c>
      <c r="B13" s="1" t="s">
        <v>607</v>
      </c>
      <c r="C13" s="1">
        <v>277</v>
      </c>
      <c r="D13" s="1" t="s">
        <v>94</v>
      </c>
      <c r="E13" s="1" t="s">
        <v>91</v>
      </c>
      <c r="F13" s="1">
        <v>0.86299999999999999</v>
      </c>
      <c r="G13" s="1">
        <v>-0.249</v>
      </c>
      <c r="H13" s="1">
        <v>8.8369999999999997</v>
      </c>
      <c r="I13" s="1">
        <v>0.82199999999999995</v>
      </c>
      <c r="J13" s="1">
        <v>-1E-3</v>
      </c>
      <c r="K13" s="1">
        <v>-0.84</v>
      </c>
      <c r="L13" s="3">
        <v>-0.248</v>
      </c>
      <c r="M13" s="1">
        <v>0.59499999999999997</v>
      </c>
      <c r="N13" s="1">
        <v>0.67600000000000005</v>
      </c>
      <c r="O13" s="1"/>
      <c r="P13" s="1">
        <v>-0.25</v>
      </c>
      <c r="Q13" s="1">
        <v>0</v>
      </c>
      <c r="R13" s="1">
        <v>-3.0000000000000001E-3</v>
      </c>
      <c r="S13" s="1">
        <v>0.65400000000000003</v>
      </c>
      <c r="T13" s="4">
        <f t="shared" si="0"/>
        <v>0.74199999999999999</v>
      </c>
    </row>
    <row r="14" spans="1:20" x14ac:dyDescent="0.2">
      <c r="A14" s="1" t="s">
        <v>102</v>
      </c>
      <c r="B14" s="1" t="s">
        <v>607</v>
      </c>
      <c r="C14" s="1">
        <v>278</v>
      </c>
      <c r="D14" s="1" t="s">
        <v>95</v>
      </c>
      <c r="E14" s="1" t="s">
        <v>89</v>
      </c>
      <c r="F14" s="1">
        <v>1.425</v>
      </c>
      <c r="G14" s="1">
        <v>-0.24299999999999999</v>
      </c>
      <c r="H14" s="1">
        <v>9.5280000000000005</v>
      </c>
      <c r="I14" s="1">
        <v>0.82099999999999995</v>
      </c>
      <c r="J14" s="1">
        <v>-1E-3</v>
      </c>
      <c r="K14" s="1">
        <v>-0.84</v>
      </c>
      <c r="L14" s="3">
        <v>-0.24199999999999999</v>
      </c>
      <c r="M14" s="1">
        <v>0.60199999999999998</v>
      </c>
      <c r="N14" s="1">
        <v>0.68300000000000005</v>
      </c>
      <c r="O14" s="1"/>
      <c r="P14" s="1">
        <v>-0.29599999999999999</v>
      </c>
      <c r="Q14" s="1">
        <v>0</v>
      </c>
      <c r="R14" s="1">
        <v>-3.0000000000000001E-3</v>
      </c>
      <c r="S14" s="1">
        <v>0.66100000000000003</v>
      </c>
      <c r="T14" s="4">
        <f t="shared" si="0"/>
        <v>0.749</v>
      </c>
    </row>
    <row r="15" spans="1:20" x14ac:dyDescent="0.2">
      <c r="A15" s="1" t="s">
        <v>102</v>
      </c>
      <c r="B15" s="1" t="s">
        <v>608</v>
      </c>
      <c r="C15" s="1">
        <v>281</v>
      </c>
      <c r="D15" s="1" t="s">
        <v>98</v>
      </c>
      <c r="E15" s="1" t="s">
        <v>91</v>
      </c>
      <c r="F15" s="1">
        <v>0.90300000000000002</v>
      </c>
      <c r="G15" s="1">
        <v>-0.25900000000000001</v>
      </c>
      <c r="H15" s="1">
        <v>8.89</v>
      </c>
      <c r="I15" s="1">
        <v>0.76200000000000001</v>
      </c>
      <c r="J15" s="1">
        <v>-1E-3</v>
      </c>
      <c r="K15" s="1">
        <v>-0.84</v>
      </c>
      <c r="L15" s="3">
        <v>-0.25800000000000001</v>
      </c>
      <c r="M15" s="1">
        <v>0.58499999999999996</v>
      </c>
      <c r="N15" s="1">
        <v>0.66600000000000004</v>
      </c>
      <c r="O15" s="1"/>
      <c r="P15" s="1">
        <v>-0.32500000000000001</v>
      </c>
      <c r="Q15" s="1">
        <v>0</v>
      </c>
      <c r="R15" s="1">
        <v>-3.0000000000000001E-3</v>
      </c>
      <c r="S15" s="1">
        <v>0.64400000000000002</v>
      </c>
      <c r="T15" s="4">
        <f t="shared" si="0"/>
        <v>0.73199999999999998</v>
      </c>
    </row>
    <row r="16" spans="1:20" x14ac:dyDescent="0.2">
      <c r="A16" s="1" t="s">
        <v>102</v>
      </c>
      <c r="B16" s="1" t="s">
        <v>103</v>
      </c>
      <c r="C16" s="1">
        <v>289</v>
      </c>
      <c r="D16" s="1" t="s">
        <v>104</v>
      </c>
      <c r="E16" s="1" t="s">
        <v>105</v>
      </c>
      <c r="F16" s="1">
        <v>1.869</v>
      </c>
      <c r="G16" s="1">
        <v>-0.25600000000000001</v>
      </c>
      <c r="H16" s="1">
        <v>9.3819999999999997</v>
      </c>
      <c r="I16" s="1">
        <v>0.872</v>
      </c>
      <c r="J16" s="1">
        <v>0</v>
      </c>
      <c r="K16" s="1">
        <v>-0.84099999999999997</v>
      </c>
      <c r="L16" s="3">
        <v>-0.25600000000000001</v>
      </c>
      <c r="M16" s="1">
        <v>0.58899999999999997</v>
      </c>
      <c r="N16" s="1">
        <v>0.67</v>
      </c>
      <c r="O16" s="1"/>
      <c r="P16" s="1">
        <v>-0.27</v>
      </c>
      <c r="Q16" s="1">
        <v>0</v>
      </c>
      <c r="R16" s="1">
        <v>-4.0000000000000001E-3</v>
      </c>
      <c r="S16" s="1">
        <v>0.64900000000000002</v>
      </c>
      <c r="T16" s="4">
        <f t="shared" si="0"/>
        <v>0.73699999999999999</v>
      </c>
    </row>
    <row r="17" spans="1:20" x14ac:dyDescent="0.2">
      <c r="A17" s="1" t="s">
        <v>102</v>
      </c>
      <c r="B17" s="1" t="s">
        <v>103</v>
      </c>
      <c r="C17" s="1">
        <v>291</v>
      </c>
      <c r="D17" s="1" t="s">
        <v>108</v>
      </c>
      <c r="E17" s="1" t="s">
        <v>109</v>
      </c>
      <c r="F17" s="1">
        <v>0.83599999999999997</v>
      </c>
      <c r="G17" s="1">
        <v>-0.28399999999999997</v>
      </c>
      <c r="H17" s="1">
        <v>9.7880000000000003</v>
      </c>
      <c r="I17" s="1">
        <v>0.84899999999999998</v>
      </c>
      <c r="J17" s="1">
        <v>0</v>
      </c>
      <c r="K17" s="1">
        <v>-0.84099999999999997</v>
      </c>
      <c r="L17" s="3">
        <v>-0.28399999999999997</v>
      </c>
      <c r="M17" s="1">
        <v>0.56000000000000005</v>
      </c>
      <c r="N17" s="1">
        <v>0.64100000000000001</v>
      </c>
      <c r="O17" s="1"/>
      <c r="P17" s="1">
        <v>-0.32600000000000001</v>
      </c>
      <c r="Q17" s="1">
        <v>0</v>
      </c>
      <c r="R17" s="1">
        <v>-5.0000000000000001E-3</v>
      </c>
      <c r="S17" s="1">
        <v>0.61899999999999999</v>
      </c>
      <c r="T17" s="4">
        <f t="shared" si="0"/>
        <v>0.70699999999999996</v>
      </c>
    </row>
    <row r="18" spans="1:20" x14ac:dyDescent="0.2">
      <c r="A18" s="1" t="s">
        <v>102</v>
      </c>
      <c r="B18" s="1" t="s">
        <v>110</v>
      </c>
      <c r="C18" s="1">
        <v>293</v>
      </c>
      <c r="D18" s="1" t="s">
        <v>113</v>
      </c>
      <c r="E18" s="1" t="s">
        <v>114</v>
      </c>
      <c r="F18" s="1">
        <v>1.377</v>
      </c>
      <c r="G18" s="1">
        <v>-0.23100000000000001</v>
      </c>
      <c r="H18" s="1">
        <v>8.4039999999999999</v>
      </c>
      <c r="I18" s="1">
        <v>0.69</v>
      </c>
      <c r="J18" s="1">
        <v>0</v>
      </c>
      <c r="K18" s="1">
        <v>-0.84099999999999997</v>
      </c>
      <c r="L18" s="3">
        <v>-0.23100000000000001</v>
      </c>
      <c r="M18" s="1">
        <v>0.61399999999999999</v>
      </c>
      <c r="N18" s="1">
        <v>0.69499999999999995</v>
      </c>
      <c r="O18" s="1"/>
      <c r="P18" s="1">
        <v>-0.40200000000000002</v>
      </c>
      <c r="Q18" s="1">
        <v>0</v>
      </c>
      <c r="R18" s="1">
        <v>-5.0000000000000001E-3</v>
      </c>
      <c r="S18" s="1">
        <v>0.67500000000000004</v>
      </c>
      <c r="T18" s="4">
        <f t="shared" si="0"/>
        <v>0.76300000000000001</v>
      </c>
    </row>
    <row r="19" spans="1:20" x14ac:dyDescent="0.2">
      <c r="A19" s="1" t="s">
        <v>102</v>
      </c>
      <c r="B19" s="1" t="s">
        <v>110</v>
      </c>
      <c r="C19" s="1">
        <v>294</v>
      </c>
      <c r="D19" s="1" t="s">
        <v>115</v>
      </c>
      <c r="E19" s="1" t="s">
        <v>109</v>
      </c>
      <c r="F19" s="1">
        <v>0.89100000000000001</v>
      </c>
      <c r="G19" s="1">
        <v>-0.251</v>
      </c>
      <c r="H19" s="1">
        <v>9.7759999999999998</v>
      </c>
      <c r="I19" s="1">
        <v>0.82399999999999995</v>
      </c>
      <c r="J19" s="1">
        <v>0</v>
      </c>
      <c r="K19" s="1">
        <v>-0.84099999999999997</v>
      </c>
      <c r="L19" s="3">
        <v>-0.251</v>
      </c>
      <c r="M19" s="1">
        <v>0.59299999999999997</v>
      </c>
      <c r="N19" s="1">
        <v>0.67400000000000004</v>
      </c>
      <c r="O19" s="1"/>
      <c r="P19" s="1">
        <v>-0.36</v>
      </c>
      <c r="Q19" s="1">
        <v>0</v>
      </c>
      <c r="R19" s="1">
        <v>-5.0000000000000001E-3</v>
      </c>
      <c r="S19" s="1">
        <v>0.65400000000000003</v>
      </c>
      <c r="T19" s="4">
        <f t="shared" si="0"/>
        <v>0.74199999999999999</v>
      </c>
    </row>
    <row r="20" spans="1:20" x14ac:dyDescent="0.2">
      <c r="A20" s="1" t="s">
        <v>102</v>
      </c>
      <c r="B20" s="1" t="s">
        <v>110</v>
      </c>
      <c r="C20" s="1">
        <v>295</v>
      </c>
      <c r="D20" s="1" t="s">
        <v>116</v>
      </c>
      <c r="E20" s="1" t="s">
        <v>114</v>
      </c>
      <c r="F20" s="1">
        <v>1.5349999999999999</v>
      </c>
      <c r="G20" s="1">
        <v>-0.26700000000000002</v>
      </c>
      <c r="H20" s="1">
        <v>8.4960000000000004</v>
      </c>
      <c r="I20" s="1">
        <v>0.71899999999999997</v>
      </c>
      <c r="J20" s="1">
        <v>0</v>
      </c>
      <c r="K20" s="1">
        <v>-0.84099999999999997</v>
      </c>
      <c r="L20" s="3">
        <v>-0.26700000000000002</v>
      </c>
      <c r="M20" s="1">
        <v>0.57799999999999996</v>
      </c>
      <c r="N20" s="1">
        <v>0.65900000000000003</v>
      </c>
      <c r="O20" s="1"/>
      <c r="P20" s="1">
        <v>-0.38400000000000001</v>
      </c>
      <c r="Q20" s="1">
        <v>0</v>
      </c>
      <c r="R20" s="1">
        <v>-5.0000000000000001E-3</v>
      </c>
      <c r="S20" s="1">
        <v>0.63700000000000001</v>
      </c>
      <c r="T20" s="4">
        <f t="shared" si="0"/>
        <v>0.72499999999999998</v>
      </c>
    </row>
    <row r="21" spans="1:20" x14ac:dyDescent="0.2">
      <c r="A21" s="1" t="s">
        <v>102</v>
      </c>
      <c r="B21" s="1" t="s">
        <v>110</v>
      </c>
      <c r="C21" s="1">
        <v>296</v>
      </c>
      <c r="D21" s="1" t="s">
        <v>117</v>
      </c>
      <c r="E21" s="1" t="s">
        <v>105</v>
      </c>
      <c r="F21" s="1">
        <v>1.784</v>
      </c>
      <c r="G21" s="1">
        <v>-0.26600000000000001</v>
      </c>
      <c r="H21" s="1">
        <v>9.3179999999999996</v>
      </c>
      <c r="I21" s="1">
        <v>0.92</v>
      </c>
      <c r="J21" s="1">
        <v>0</v>
      </c>
      <c r="K21" s="1">
        <v>-0.84099999999999997</v>
      </c>
      <c r="L21" s="3">
        <v>-0.26600000000000001</v>
      </c>
      <c r="M21" s="1">
        <v>0.57899999999999996</v>
      </c>
      <c r="N21" s="1">
        <v>0.66</v>
      </c>
      <c r="O21" s="1"/>
      <c r="P21" s="1">
        <v>-0.24099999999999999</v>
      </c>
      <c r="Q21" s="1">
        <v>0</v>
      </c>
      <c r="R21" s="1">
        <v>-5.0000000000000001E-3</v>
      </c>
      <c r="S21" s="1">
        <v>0.63900000000000001</v>
      </c>
      <c r="T21" s="4">
        <f t="shared" si="0"/>
        <v>0.72699999999999998</v>
      </c>
    </row>
    <row r="22" spans="1:20" x14ac:dyDescent="0.2">
      <c r="A22" s="1" t="s">
        <v>102</v>
      </c>
      <c r="B22" s="1" t="s">
        <v>119</v>
      </c>
      <c r="C22" s="1">
        <v>299</v>
      </c>
      <c r="D22" s="1" t="s">
        <v>122</v>
      </c>
      <c r="E22" s="1" t="s">
        <v>123</v>
      </c>
      <c r="F22" s="1">
        <v>0.01</v>
      </c>
      <c r="G22" s="1">
        <v>-0.248</v>
      </c>
      <c r="H22" s="1">
        <v>8.657</v>
      </c>
      <c r="I22" s="1">
        <v>0.74099999999999999</v>
      </c>
      <c r="J22" s="1">
        <v>0</v>
      </c>
      <c r="K22" s="1">
        <v>-0.84199999999999997</v>
      </c>
      <c r="L22" s="3">
        <v>-0.248</v>
      </c>
      <c r="M22" s="1">
        <v>0.59599999999999997</v>
      </c>
      <c r="N22" s="1">
        <v>0.67700000000000005</v>
      </c>
      <c r="O22" s="1"/>
      <c r="P22" s="1">
        <v>-0.38500000000000001</v>
      </c>
      <c r="Q22" s="1">
        <v>0</v>
      </c>
      <c r="R22" s="1">
        <v>-6.0000000000000001E-3</v>
      </c>
      <c r="S22" s="1">
        <v>0.65700000000000003</v>
      </c>
      <c r="T22" s="4">
        <f t="shared" si="0"/>
        <v>0.745</v>
      </c>
    </row>
    <row r="23" spans="1:20" x14ac:dyDescent="0.2">
      <c r="A23" s="1" t="s">
        <v>102</v>
      </c>
      <c r="B23" s="1" t="s">
        <v>119</v>
      </c>
      <c r="C23" s="1">
        <v>300</v>
      </c>
      <c r="D23" s="1" t="s">
        <v>124</v>
      </c>
      <c r="E23" s="1" t="s">
        <v>125</v>
      </c>
      <c r="F23" s="1">
        <v>1.341</v>
      </c>
      <c r="G23" s="1">
        <v>-0.249</v>
      </c>
      <c r="H23" s="1">
        <v>10.314</v>
      </c>
      <c r="I23" s="1">
        <v>0.89700000000000002</v>
      </c>
      <c r="J23" s="1">
        <v>0</v>
      </c>
      <c r="K23" s="1">
        <v>-0.84199999999999997</v>
      </c>
      <c r="L23" s="3">
        <v>-0.249</v>
      </c>
      <c r="M23" s="1">
        <v>0.59599999999999997</v>
      </c>
      <c r="N23" s="1">
        <v>0.67700000000000005</v>
      </c>
      <c r="O23" s="1"/>
      <c r="P23" s="1">
        <v>-0.34399999999999997</v>
      </c>
      <c r="Q23" s="1">
        <v>0</v>
      </c>
      <c r="R23" s="1">
        <v>-6.0000000000000001E-3</v>
      </c>
      <c r="S23" s="1">
        <v>0.65700000000000003</v>
      </c>
      <c r="T23" s="4">
        <f t="shared" si="0"/>
        <v>0.745</v>
      </c>
    </row>
    <row r="24" spans="1:20" x14ac:dyDescent="0.2">
      <c r="A24" s="1" t="s">
        <v>102</v>
      </c>
      <c r="B24" s="1" t="s">
        <v>119</v>
      </c>
      <c r="C24" s="1">
        <v>301</v>
      </c>
      <c r="D24" s="1" t="s">
        <v>126</v>
      </c>
      <c r="E24" s="1" t="s">
        <v>123</v>
      </c>
      <c r="F24" s="1">
        <v>0.16</v>
      </c>
      <c r="G24" s="1">
        <v>-0.27200000000000002</v>
      </c>
      <c r="H24" s="1">
        <v>9.0150000000000006</v>
      </c>
      <c r="I24" s="1">
        <v>0.73599999999999999</v>
      </c>
      <c r="J24" s="1">
        <v>0</v>
      </c>
      <c r="K24" s="1">
        <v>-0.84199999999999997</v>
      </c>
      <c r="L24" s="3">
        <v>-0.27200000000000002</v>
      </c>
      <c r="M24" s="1">
        <v>0.57199999999999995</v>
      </c>
      <c r="N24" s="1">
        <v>0.65300000000000002</v>
      </c>
      <c r="O24" s="1"/>
      <c r="P24" s="1">
        <v>-0.42</v>
      </c>
      <c r="Q24" s="1">
        <v>0</v>
      </c>
      <c r="R24" s="1">
        <v>-6.0000000000000001E-3</v>
      </c>
      <c r="S24" s="1">
        <v>0.63200000000000001</v>
      </c>
      <c r="T24" s="4">
        <f t="shared" si="0"/>
        <v>0.72</v>
      </c>
    </row>
    <row r="25" spans="1:20" x14ac:dyDescent="0.2">
      <c r="A25" s="1" t="s">
        <v>102</v>
      </c>
      <c r="B25" s="1" t="s">
        <v>127</v>
      </c>
      <c r="C25" s="1">
        <v>303</v>
      </c>
      <c r="D25" s="1" t="s">
        <v>130</v>
      </c>
      <c r="E25" s="1" t="s">
        <v>125</v>
      </c>
      <c r="F25" s="1">
        <v>1.212</v>
      </c>
      <c r="G25" s="1">
        <v>-0.26300000000000001</v>
      </c>
      <c r="H25" s="1">
        <v>10.086</v>
      </c>
      <c r="I25" s="1">
        <v>0.92400000000000004</v>
      </c>
      <c r="J25" s="1">
        <v>0</v>
      </c>
      <c r="K25" s="1">
        <v>-0.84199999999999997</v>
      </c>
      <c r="L25" s="3">
        <v>-0.26300000000000001</v>
      </c>
      <c r="M25" s="1">
        <v>0.58199999999999996</v>
      </c>
      <c r="N25" s="1">
        <v>0.66300000000000003</v>
      </c>
      <c r="O25" s="1"/>
      <c r="P25" s="1">
        <v>-0.312</v>
      </c>
      <c r="Q25" s="1">
        <v>0</v>
      </c>
      <c r="R25" s="1">
        <v>-6.0000000000000001E-3</v>
      </c>
      <c r="S25" s="1">
        <v>0.64200000000000002</v>
      </c>
      <c r="T25" s="4">
        <f t="shared" si="0"/>
        <v>0.73</v>
      </c>
    </row>
    <row r="26" spans="1:20" x14ac:dyDescent="0.2">
      <c r="A26" s="1" t="s">
        <v>102</v>
      </c>
      <c r="B26" s="1" t="s">
        <v>127</v>
      </c>
      <c r="C26" s="1">
        <v>305</v>
      </c>
      <c r="D26" s="1" t="s">
        <v>132</v>
      </c>
      <c r="E26" s="1" t="s">
        <v>133</v>
      </c>
      <c r="F26" s="1">
        <v>6.9710000000000001</v>
      </c>
      <c r="G26" s="1">
        <v>-0.252</v>
      </c>
      <c r="H26" s="1">
        <v>9.7439999999999998</v>
      </c>
      <c r="I26" s="1">
        <v>0.95899999999999996</v>
      </c>
      <c r="J26" s="1">
        <v>0</v>
      </c>
      <c r="K26" s="1">
        <v>-0.84199999999999997</v>
      </c>
      <c r="L26" s="3">
        <v>-0.252</v>
      </c>
      <c r="M26" s="1">
        <v>0.59399999999999997</v>
      </c>
      <c r="N26" s="1">
        <v>0.67500000000000004</v>
      </c>
      <c r="O26" s="1"/>
      <c r="P26" s="1">
        <v>-0.26100000000000001</v>
      </c>
      <c r="Q26" s="1">
        <v>0</v>
      </c>
      <c r="R26" s="1">
        <v>-6.0000000000000001E-3</v>
      </c>
      <c r="S26" s="1">
        <v>0.65500000000000003</v>
      </c>
      <c r="T26" s="4">
        <f t="shared" si="0"/>
        <v>0.74299999999999999</v>
      </c>
    </row>
    <row r="27" spans="1:20" x14ac:dyDescent="0.2">
      <c r="A27" s="1" t="s">
        <v>102</v>
      </c>
      <c r="B27" s="1" t="s">
        <v>127</v>
      </c>
      <c r="C27" s="1">
        <v>306</v>
      </c>
      <c r="D27" s="1" t="s">
        <v>134</v>
      </c>
      <c r="E27" s="1" t="s">
        <v>133</v>
      </c>
      <c r="F27" s="1">
        <v>7</v>
      </c>
      <c r="G27" s="1">
        <v>-0.23400000000000001</v>
      </c>
      <c r="H27" s="1">
        <v>9.6910000000000007</v>
      </c>
      <c r="I27" s="1">
        <v>0.86399999999999999</v>
      </c>
      <c r="J27" s="1">
        <v>0</v>
      </c>
      <c r="K27" s="1">
        <v>-0.84199999999999997</v>
      </c>
      <c r="L27" s="3">
        <v>-0.23400000000000001</v>
      </c>
      <c r="M27" s="1">
        <v>0.61199999999999999</v>
      </c>
      <c r="N27" s="1">
        <v>0.69299999999999995</v>
      </c>
      <c r="O27" s="1"/>
      <c r="P27" s="1">
        <v>-0.35599999999999998</v>
      </c>
      <c r="Q27" s="1">
        <v>1E-3</v>
      </c>
      <c r="R27" s="1">
        <v>-6.0000000000000001E-3</v>
      </c>
      <c r="S27" s="1">
        <v>0.67400000000000004</v>
      </c>
      <c r="T27" s="4">
        <f t="shared" si="0"/>
        <v>0.76200000000000001</v>
      </c>
    </row>
    <row r="28" spans="1:20" x14ac:dyDescent="0.2">
      <c r="A28" s="1" t="s">
        <v>102</v>
      </c>
      <c r="B28" s="1" t="s">
        <v>127</v>
      </c>
      <c r="C28" s="1">
        <v>307</v>
      </c>
      <c r="D28" s="1" t="s">
        <v>135</v>
      </c>
      <c r="E28" s="1" t="s">
        <v>125</v>
      </c>
      <c r="F28" s="1">
        <v>1.24</v>
      </c>
      <c r="G28" s="1">
        <v>-0.245</v>
      </c>
      <c r="H28" s="1">
        <v>9.9779999999999998</v>
      </c>
      <c r="I28" s="1">
        <v>0.83899999999999997</v>
      </c>
      <c r="J28" s="1">
        <v>0</v>
      </c>
      <c r="K28" s="1">
        <v>-0.84199999999999997</v>
      </c>
      <c r="L28" s="3">
        <v>-0.245</v>
      </c>
      <c r="M28" s="1">
        <v>0.6</v>
      </c>
      <c r="N28" s="1">
        <v>0.68100000000000005</v>
      </c>
      <c r="O28" s="1"/>
      <c r="P28" s="1">
        <v>-0.40400000000000003</v>
      </c>
      <c r="Q28" s="1">
        <v>1E-3</v>
      </c>
      <c r="R28" s="1">
        <v>-6.0000000000000001E-3</v>
      </c>
      <c r="S28" s="1">
        <v>0.66200000000000003</v>
      </c>
      <c r="T28" s="4">
        <f t="shared" si="0"/>
        <v>0.75</v>
      </c>
    </row>
    <row r="29" spans="1:20" x14ac:dyDescent="0.2">
      <c r="A29" s="1" t="s">
        <v>102</v>
      </c>
      <c r="B29" s="1" t="s">
        <v>136</v>
      </c>
      <c r="C29" s="1">
        <v>308</v>
      </c>
      <c r="D29" s="1" t="s">
        <v>137</v>
      </c>
      <c r="E29" s="1" t="s">
        <v>133</v>
      </c>
      <c r="F29" s="1">
        <v>6.9359999999999999</v>
      </c>
      <c r="G29" s="1">
        <v>-0.23300000000000001</v>
      </c>
      <c r="H29" s="1">
        <v>9.8710000000000004</v>
      </c>
      <c r="I29" s="1">
        <v>0.91900000000000004</v>
      </c>
      <c r="J29" s="1">
        <v>0</v>
      </c>
      <c r="K29" s="1">
        <v>-0.84199999999999997</v>
      </c>
      <c r="L29" s="3">
        <v>-0.23300000000000001</v>
      </c>
      <c r="M29" s="1">
        <v>0.61299999999999999</v>
      </c>
      <c r="N29" s="1">
        <v>0.69399999999999995</v>
      </c>
      <c r="O29" s="1"/>
      <c r="P29" s="1">
        <v>-0.32</v>
      </c>
      <c r="Q29" s="1">
        <v>1E-3</v>
      </c>
      <c r="R29" s="1">
        <v>-7.0000000000000001E-3</v>
      </c>
      <c r="S29" s="1">
        <v>0.67600000000000005</v>
      </c>
      <c r="T29" s="4">
        <f t="shared" si="0"/>
        <v>0.76400000000000001</v>
      </c>
    </row>
    <row r="30" spans="1:20" x14ac:dyDescent="0.2">
      <c r="A30" s="1" t="s">
        <v>102</v>
      </c>
      <c r="B30" s="1" t="s">
        <v>136</v>
      </c>
      <c r="C30" s="1">
        <v>310</v>
      </c>
      <c r="D30" s="1" t="s">
        <v>140</v>
      </c>
      <c r="E30" s="1" t="s">
        <v>123</v>
      </c>
      <c r="F30" s="1">
        <v>-5.0000000000000001E-3</v>
      </c>
      <c r="G30" s="1">
        <v>-0.24099999999999999</v>
      </c>
      <c r="H30" s="1">
        <v>8.4969999999999999</v>
      </c>
      <c r="I30" s="1">
        <v>0.68400000000000005</v>
      </c>
      <c r="J30" s="1">
        <v>0</v>
      </c>
      <c r="K30" s="1">
        <v>-0.84199999999999997</v>
      </c>
      <c r="L30" s="3">
        <v>-0.24099999999999999</v>
      </c>
      <c r="M30" s="1">
        <v>0.60299999999999998</v>
      </c>
      <c r="N30" s="1">
        <v>0.68400000000000005</v>
      </c>
      <c r="O30" s="1"/>
      <c r="P30" s="1">
        <v>-0.46500000000000002</v>
      </c>
      <c r="Q30" s="1">
        <v>1E-3</v>
      </c>
      <c r="R30" s="1">
        <v>-7.0000000000000001E-3</v>
      </c>
      <c r="S30" s="1">
        <v>0.66600000000000004</v>
      </c>
      <c r="T30" s="4">
        <f t="shared" si="0"/>
        <v>0.754</v>
      </c>
    </row>
    <row r="31" spans="1:20" x14ac:dyDescent="0.2">
      <c r="A31" s="1" t="s">
        <v>102</v>
      </c>
      <c r="B31" s="1" t="s">
        <v>228</v>
      </c>
      <c r="C31" s="1">
        <v>457</v>
      </c>
      <c r="D31" s="1" t="s">
        <v>231</v>
      </c>
      <c r="E31" s="1" t="s">
        <v>232</v>
      </c>
      <c r="F31" s="1">
        <v>1.6859999999999999</v>
      </c>
      <c r="G31" s="1">
        <v>-0.254</v>
      </c>
      <c r="H31" s="1">
        <v>10.694000000000001</v>
      </c>
      <c r="I31" s="1">
        <v>1.651</v>
      </c>
      <c r="J31" s="1">
        <v>3.0000000000000001E-3</v>
      </c>
      <c r="K31" s="1">
        <v>-0.85399999999999998</v>
      </c>
      <c r="L31" s="3">
        <v>-0.25905800000000001</v>
      </c>
      <c r="M31" s="1">
        <v>0.59</v>
      </c>
      <c r="N31" s="1">
        <v>0.67100000000000004</v>
      </c>
      <c r="O31" s="1"/>
      <c r="P31" s="1">
        <v>-0.38500000000000001</v>
      </c>
      <c r="Q31" s="1">
        <v>3.0000000000000001E-3</v>
      </c>
      <c r="R31" s="1">
        <v>-1.2E-2</v>
      </c>
      <c r="S31" s="1">
        <v>0.65500000000000003</v>
      </c>
      <c r="T31" s="4">
        <f t="shared" si="0"/>
        <v>0.74299999999999999</v>
      </c>
    </row>
    <row r="32" spans="1:20" x14ac:dyDescent="0.2">
      <c r="A32" s="1" t="s">
        <v>102</v>
      </c>
      <c r="B32" s="1" t="s">
        <v>228</v>
      </c>
      <c r="C32" s="1">
        <v>458</v>
      </c>
      <c r="D32" s="1" t="s">
        <v>233</v>
      </c>
      <c r="E32" s="1" t="s">
        <v>234</v>
      </c>
      <c r="F32" s="1">
        <v>1.3420000000000001</v>
      </c>
      <c r="G32" s="1">
        <v>-0.248</v>
      </c>
      <c r="H32" s="1">
        <v>10.803000000000001</v>
      </c>
      <c r="I32" s="1">
        <v>1.6879999999999999</v>
      </c>
      <c r="J32" s="1">
        <v>3.0000000000000001E-3</v>
      </c>
      <c r="K32" s="1">
        <v>-0.85499999999999998</v>
      </c>
      <c r="L32" s="3">
        <v>-0.25202599999999997</v>
      </c>
      <c r="M32" s="1">
        <v>0.59699999999999998</v>
      </c>
      <c r="N32" s="1">
        <v>0.67800000000000005</v>
      </c>
      <c r="O32" s="1"/>
      <c r="P32" s="1">
        <v>-0.37</v>
      </c>
      <c r="Q32" s="1">
        <v>3.0000000000000001E-3</v>
      </c>
      <c r="R32" s="1">
        <v>-1.0999999999999999E-2</v>
      </c>
      <c r="S32" s="1">
        <v>0.66200000000000003</v>
      </c>
      <c r="T32" s="4">
        <f t="shared" si="0"/>
        <v>0.75</v>
      </c>
    </row>
    <row r="33" spans="1:20" x14ac:dyDescent="0.2">
      <c r="A33" s="1" t="s">
        <v>102</v>
      </c>
      <c r="B33" s="1" t="s">
        <v>235</v>
      </c>
      <c r="C33" s="1">
        <v>460</v>
      </c>
      <c r="D33" s="1" t="s">
        <v>236</v>
      </c>
      <c r="E33" s="1" t="s">
        <v>232</v>
      </c>
      <c r="F33" s="1">
        <v>1.653</v>
      </c>
      <c r="G33" s="1">
        <v>-0.248</v>
      </c>
      <c r="H33" s="1">
        <v>10.795999999999999</v>
      </c>
      <c r="I33" s="1">
        <v>1.7789999999999999</v>
      </c>
      <c r="J33" s="1">
        <v>3.0000000000000001E-3</v>
      </c>
      <c r="K33" s="1">
        <v>-0.85499999999999998</v>
      </c>
      <c r="L33" s="3">
        <v>-0.25295899999999999</v>
      </c>
      <c r="M33" s="1">
        <v>0.59599999999999997</v>
      </c>
      <c r="N33" s="1">
        <v>0.67700000000000005</v>
      </c>
      <c r="O33" s="1"/>
      <c r="P33" s="1">
        <v>-0.28999999999999998</v>
      </c>
      <c r="Q33" s="1">
        <v>3.0000000000000001E-3</v>
      </c>
      <c r="R33" s="1">
        <v>-1.0999999999999999E-2</v>
      </c>
      <c r="S33" s="1">
        <v>0.66100000000000003</v>
      </c>
      <c r="T33" s="4">
        <f t="shared" si="0"/>
        <v>0.749</v>
      </c>
    </row>
    <row r="34" spans="1:20" x14ac:dyDescent="0.2">
      <c r="A34" s="1" t="s">
        <v>102</v>
      </c>
      <c r="B34" s="1" t="s">
        <v>235</v>
      </c>
      <c r="C34" s="1">
        <v>461</v>
      </c>
      <c r="D34" s="1" t="s">
        <v>237</v>
      </c>
      <c r="E34" s="1" t="s">
        <v>234</v>
      </c>
      <c r="F34" s="1">
        <v>1.33</v>
      </c>
      <c r="G34" s="1">
        <v>-0.26500000000000001</v>
      </c>
      <c r="H34" s="1">
        <v>10.801</v>
      </c>
      <c r="I34" s="1">
        <v>1.671</v>
      </c>
      <c r="J34" s="1">
        <v>3.0000000000000001E-3</v>
      </c>
      <c r="K34" s="1">
        <v>-0.85499999999999998</v>
      </c>
      <c r="L34" s="3">
        <v>-0.26899000000000001</v>
      </c>
      <c r="M34" s="1">
        <v>0.57999999999999996</v>
      </c>
      <c r="N34" s="1">
        <v>0.66100000000000003</v>
      </c>
      <c r="O34" s="1"/>
      <c r="P34" s="1">
        <v>-0.40500000000000003</v>
      </c>
      <c r="Q34" s="1">
        <v>3.0000000000000001E-3</v>
      </c>
      <c r="R34" s="1">
        <v>-1.0999999999999999E-2</v>
      </c>
      <c r="S34" s="1">
        <v>0.64400000000000002</v>
      </c>
      <c r="T34" s="4">
        <f t="shared" si="0"/>
        <v>0.73199999999999998</v>
      </c>
    </row>
    <row r="35" spans="1:20" x14ac:dyDescent="0.2">
      <c r="A35" s="1" t="s">
        <v>102</v>
      </c>
      <c r="B35" s="1" t="s">
        <v>280</v>
      </c>
      <c r="C35" s="1">
        <v>537</v>
      </c>
      <c r="D35" s="1" t="s">
        <v>282</v>
      </c>
      <c r="E35" s="1" t="s">
        <v>232</v>
      </c>
      <c r="F35" s="1">
        <v>1.726</v>
      </c>
      <c r="G35" s="1">
        <v>-0.24</v>
      </c>
      <c r="H35" s="1">
        <v>11.464</v>
      </c>
      <c r="I35" s="1">
        <v>2.3239999999999998</v>
      </c>
      <c r="J35" s="1">
        <v>4.0000000000000001E-3</v>
      </c>
      <c r="K35" s="1">
        <v>-0.86199999999999999</v>
      </c>
      <c r="L35" s="3">
        <v>-0.24690399999999998</v>
      </c>
      <c r="M35" s="1">
        <v>0.60299999999999998</v>
      </c>
      <c r="N35" s="1">
        <v>0.68400000000000005</v>
      </c>
      <c r="O35" s="1"/>
      <c r="P35" s="1">
        <v>-0.38100000000000001</v>
      </c>
      <c r="Q35" s="1">
        <v>4.0000000000000001E-3</v>
      </c>
      <c r="R35" s="1">
        <v>-5.0000000000000001E-3</v>
      </c>
      <c r="S35" s="1">
        <v>0.66400000000000003</v>
      </c>
      <c r="T35" s="4">
        <f t="shared" si="0"/>
        <v>0.752</v>
      </c>
    </row>
    <row r="36" spans="1:20" x14ac:dyDescent="0.2">
      <c r="A36" s="1" t="s">
        <v>102</v>
      </c>
      <c r="B36" s="1" t="s">
        <v>280</v>
      </c>
      <c r="C36" s="1">
        <v>539</v>
      </c>
      <c r="D36" s="1" t="s">
        <v>284</v>
      </c>
      <c r="E36" s="1" t="s">
        <v>234</v>
      </c>
      <c r="F36" s="1">
        <v>1.355</v>
      </c>
      <c r="G36" s="1">
        <v>-0.23699999999999999</v>
      </c>
      <c r="H36" s="1">
        <v>11.669</v>
      </c>
      <c r="I36" s="1">
        <v>2.516</v>
      </c>
      <c r="J36" s="1">
        <v>4.0000000000000001E-3</v>
      </c>
      <c r="K36" s="1">
        <v>-0.86199999999999999</v>
      </c>
      <c r="L36" s="3">
        <v>-0.24242</v>
      </c>
      <c r="M36" s="1">
        <v>0.60699999999999998</v>
      </c>
      <c r="N36" s="1">
        <v>0.68799999999999994</v>
      </c>
      <c r="O36" s="1"/>
      <c r="P36" s="1">
        <v>-0.24199999999999999</v>
      </c>
      <c r="Q36" s="1">
        <v>4.0000000000000001E-3</v>
      </c>
      <c r="R36" s="1">
        <v>-5.0000000000000001E-3</v>
      </c>
      <c r="S36" s="1">
        <v>0.66800000000000004</v>
      </c>
      <c r="T36" s="4">
        <f t="shared" si="0"/>
        <v>0.75600000000000001</v>
      </c>
    </row>
    <row r="37" spans="1:20" x14ac:dyDescent="0.2">
      <c r="A37" s="1" t="s">
        <v>102</v>
      </c>
      <c r="B37" s="1" t="s">
        <v>280</v>
      </c>
      <c r="C37" s="1">
        <v>540</v>
      </c>
      <c r="D37" s="1" t="s">
        <v>285</v>
      </c>
      <c r="E37" s="1" t="s">
        <v>286</v>
      </c>
      <c r="F37" s="1">
        <v>4.9989999999999997</v>
      </c>
      <c r="G37" s="1">
        <v>-0.221</v>
      </c>
      <c r="H37" s="1">
        <v>12.069000000000001</v>
      </c>
      <c r="I37" s="1">
        <v>2.4369999999999998</v>
      </c>
      <c r="J37" s="1">
        <v>4.0000000000000001E-3</v>
      </c>
      <c r="K37" s="1">
        <v>-0.86199999999999999</v>
      </c>
      <c r="L37" s="3">
        <v>-0.24099599999999999</v>
      </c>
      <c r="M37" s="1">
        <v>0.60699999999999998</v>
      </c>
      <c r="N37" s="1">
        <v>0.68799999999999994</v>
      </c>
      <c r="O37" s="1"/>
      <c r="P37" s="1">
        <v>-0.40400000000000003</v>
      </c>
      <c r="Q37" s="1">
        <v>4.0000000000000001E-3</v>
      </c>
      <c r="R37" s="1">
        <v>-5.0000000000000001E-3</v>
      </c>
      <c r="S37" s="1">
        <v>0.66800000000000004</v>
      </c>
      <c r="T37" s="4">
        <f t="shared" si="0"/>
        <v>0.75600000000000001</v>
      </c>
    </row>
    <row r="38" spans="1:20" x14ac:dyDescent="0.2">
      <c r="A38" s="1" t="s">
        <v>102</v>
      </c>
      <c r="B38" s="1" t="s">
        <v>287</v>
      </c>
      <c r="C38" s="1">
        <v>542</v>
      </c>
      <c r="D38" s="1" t="s">
        <v>290</v>
      </c>
      <c r="E38" s="1" t="s">
        <v>291</v>
      </c>
      <c r="F38" s="1">
        <v>5.9349999999999996</v>
      </c>
      <c r="G38" s="1">
        <v>-0.219</v>
      </c>
      <c r="H38" s="1">
        <v>11.999000000000001</v>
      </c>
      <c r="I38" s="1">
        <v>2.5099999999999998</v>
      </c>
      <c r="J38" s="1">
        <v>5.0000000000000001E-3</v>
      </c>
      <c r="K38" s="1">
        <v>-0.86299999999999999</v>
      </c>
      <c r="L38" s="3">
        <v>-0.24867500000000001</v>
      </c>
      <c r="M38" s="1">
        <v>0.60399999999999998</v>
      </c>
      <c r="N38" s="1">
        <v>0.68500000000000005</v>
      </c>
      <c r="O38" s="1"/>
      <c r="P38" s="1">
        <v>-0.33400000000000002</v>
      </c>
      <c r="Q38" s="1">
        <v>4.0000000000000001E-3</v>
      </c>
      <c r="R38" s="1">
        <v>-5.0000000000000001E-3</v>
      </c>
      <c r="S38" s="1">
        <v>0.66500000000000004</v>
      </c>
      <c r="T38" s="4">
        <f t="shared" si="0"/>
        <v>0.753</v>
      </c>
    </row>
    <row r="39" spans="1:20" x14ac:dyDescent="0.2">
      <c r="A39" s="1" t="s">
        <v>102</v>
      </c>
      <c r="B39" s="1" t="s">
        <v>287</v>
      </c>
      <c r="C39" s="1">
        <v>543</v>
      </c>
      <c r="D39" s="1" t="s">
        <v>292</v>
      </c>
      <c r="E39" s="1" t="s">
        <v>286</v>
      </c>
      <c r="F39" s="1">
        <v>4.9749999999999996</v>
      </c>
      <c r="G39" s="1">
        <v>-0.217</v>
      </c>
      <c r="H39" s="1">
        <v>12.252000000000001</v>
      </c>
      <c r="I39" s="1">
        <v>2.6949999999999998</v>
      </c>
      <c r="J39" s="1">
        <v>5.0000000000000001E-3</v>
      </c>
      <c r="K39" s="1">
        <v>-0.86299999999999999</v>
      </c>
      <c r="L39" s="3">
        <v>-0.24187500000000001</v>
      </c>
      <c r="M39" s="1">
        <v>0.61</v>
      </c>
      <c r="N39" s="1">
        <v>0.69099999999999995</v>
      </c>
      <c r="O39" s="1"/>
      <c r="P39" s="1">
        <v>-0.20499999999999999</v>
      </c>
      <c r="Q39" s="1">
        <v>4.0000000000000001E-3</v>
      </c>
      <c r="R39" s="1">
        <v>-5.0000000000000001E-3</v>
      </c>
      <c r="S39" s="1">
        <v>0.67200000000000004</v>
      </c>
      <c r="T39" s="4">
        <f t="shared" si="0"/>
        <v>0.76</v>
      </c>
    </row>
    <row r="40" spans="1:20" x14ac:dyDescent="0.2">
      <c r="A40" s="1" t="s">
        <v>102</v>
      </c>
      <c r="B40" s="1" t="s">
        <v>297</v>
      </c>
      <c r="C40" s="1">
        <v>547</v>
      </c>
      <c r="D40" s="1" t="s">
        <v>298</v>
      </c>
      <c r="E40" s="1" t="s">
        <v>291</v>
      </c>
      <c r="F40" s="1">
        <v>5.9969999999999999</v>
      </c>
      <c r="G40" s="1">
        <v>-0.20200000000000001</v>
      </c>
      <c r="H40" s="1">
        <v>12.254</v>
      </c>
      <c r="I40" s="1">
        <v>2.6989999999999998</v>
      </c>
      <c r="J40" s="1">
        <v>5.0000000000000001E-3</v>
      </c>
      <c r="K40" s="1">
        <v>-0.86299999999999999</v>
      </c>
      <c r="L40" s="3">
        <v>-0.23198500000000002</v>
      </c>
      <c r="M40" s="1">
        <v>0.62</v>
      </c>
      <c r="N40" s="1">
        <v>0.70099999999999996</v>
      </c>
      <c r="O40" s="1"/>
      <c r="P40" s="1">
        <v>-0.23400000000000001</v>
      </c>
      <c r="Q40" s="1">
        <v>4.0000000000000001E-3</v>
      </c>
      <c r="R40" s="1">
        <v>-4.0000000000000001E-3</v>
      </c>
      <c r="S40" s="1">
        <v>0.68100000000000005</v>
      </c>
      <c r="T40" s="4">
        <f t="shared" si="0"/>
        <v>0.76900000000000002</v>
      </c>
    </row>
    <row r="41" spans="1:20" x14ac:dyDescent="0.2">
      <c r="A41" s="1" t="s">
        <v>102</v>
      </c>
      <c r="B41" s="1" t="s">
        <v>297</v>
      </c>
      <c r="C41" s="1">
        <v>548</v>
      </c>
      <c r="D41" s="1" t="s">
        <v>299</v>
      </c>
      <c r="E41" s="1" t="s">
        <v>300</v>
      </c>
      <c r="F41" s="1">
        <v>5.6470000000000002</v>
      </c>
      <c r="G41" s="1">
        <v>-0.27100000000000002</v>
      </c>
      <c r="H41" s="1">
        <v>14.308999999999999</v>
      </c>
      <c r="I41" s="1">
        <v>3.22</v>
      </c>
      <c r="J41" s="1">
        <v>5.0000000000000001E-3</v>
      </c>
      <c r="K41" s="1">
        <v>-0.86299999999999999</v>
      </c>
      <c r="L41" s="3">
        <v>-0.29923500000000003</v>
      </c>
      <c r="M41" s="1">
        <v>0.55400000000000005</v>
      </c>
      <c r="N41" s="1">
        <v>0.63500000000000001</v>
      </c>
      <c r="O41" s="1"/>
      <c r="P41" s="1">
        <v>-0.11700000000000001</v>
      </c>
      <c r="Q41" s="1">
        <v>4.0000000000000001E-3</v>
      </c>
      <c r="R41" s="1">
        <v>-4.0000000000000001E-3</v>
      </c>
      <c r="S41" s="1">
        <v>0.61199999999999999</v>
      </c>
      <c r="T41" s="4">
        <f t="shared" si="0"/>
        <v>0.7</v>
      </c>
    </row>
    <row r="42" spans="1:20" x14ac:dyDescent="0.2">
      <c r="A42" s="1" t="s">
        <v>102</v>
      </c>
      <c r="B42" s="1" t="s">
        <v>297</v>
      </c>
      <c r="C42" s="1">
        <v>549</v>
      </c>
      <c r="D42" s="1" t="s">
        <v>301</v>
      </c>
      <c r="E42" s="1" t="s">
        <v>291</v>
      </c>
      <c r="F42" s="1">
        <v>5.9909999999999997</v>
      </c>
      <c r="G42" s="1">
        <v>-0.22</v>
      </c>
      <c r="H42" s="1">
        <v>12.268000000000001</v>
      </c>
      <c r="I42" s="1">
        <v>2.7189999999999999</v>
      </c>
      <c r="J42" s="1">
        <v>5.0000000000000001E-3</v>
      </c>
      <c r="K42" s="1">
        <v>-0.86299999999999999</v>
      </c>
      <c r="L42" s="3">
        <v>-0.24995500000000001</v>
      </c>
      <c r="M42" s="1">
        <v>0.60199999999999998</v>
      </c>
      <c r="N42" s="1">
        <v>0.68300000000000005</v>
      </c>
      <c r="O42" s="1"/>
      <c r="P42" s="1">
        <v>-0.23400000000000001</v>
      </c>
      <c r="Q42" s="1">
        <v>4.0000000000000001E-3</v>
      </c>
      <c r="R42" s="1">
        <v>-4.0000000000000001E-3</v>
      </c>
      <c r="S42" s="1">
        <v>0.66200000000000003</v>
      </c>
      <c r="T42" s="4">
        <f t="shared" si="0"/>
        <v>0.75</v>
      </c>
    </row>
    <row r="43" spans="1:20" x14ac:dyDescent="0.2">
      <c r="A43" s="1" t="s">
        <v>102</v>
      </c>
      <c r="B43" s="1" t="s">
        <v>297</v>
      </c>
      <c r="C43" s="1">
        <v>550</v>
      </c>
      <c r="D43" s="1" t="s">
        <v>302</v>
      </c>
      <c r="E43" s="1" t="s">
        <v>286</v>
      </c>
      <c r="F43" s="1">
        <v>4.9820000000000002</v>
      </c>
      <c r="G43" s="1">
        <v>-0.22900000000000001</v>
      </c>
      <c r="H43" s="1">
        <v>12.25</v>
      </c>
      <c r="I43" s="1">
        <v>2.6850000000000001</v>
      </c>
      <c r="J43" s="1">
        <v>5.0000000000000001E-3</v>
      </c>
      <c r="K43" s="1">
        <v>-0.86299999999999999</v>
      </c>
      <c r="L43" s="3">
        <v>-0.25391000000000002</v>
      </c>
      <c r="M43" s="1">
        <v>0.59799999999999998</v>
      </c>
      <c r="N43" s="1">
        <v>0.67900000000000005</v>
      </c>
      <c r="O43" s="1"/>
      <c r="P43" s="1">
        <v>-0.27200000000000002</v>
      </c>
      <c r="Q43" s="1">
        <v>4.0000000000000001E-3</v>
      </c>
      <c r="R43" s="1">
        <v>-4.0000000000000001E-3</v>
      </c>
      <c r="S43" s="1">
        <v>0.65800000000000003</v>
      </c>
      <c r="T43" s="4">
        <f t="shared" si="0"/>
        <v>0.746</v>
      </c>
    </row>
    <row r="44" spans="1:20" x14ac:dyDescent="0.2">
      <c r="A44" s="1" t="s">
        <v>102</v>
      </c>
      <c r="B44" s="1" t="s">
        <v>646</v>
      </c>
      <c r="C44" s="1">
        <v>713</v>
      </c>
      <c r="D44" s="1" t="s">
        <v>372</v>
      </c>
      <c r="E44" s="1" t="s">
        <v>373</v>
      </c>
      <c r="F44" s="1">
        <v>0.81599999999999995</v>
      </c>
      <c r="G44" s="1">
        <v>-0.25900000000000001</v>
      </c>
      <c r="H44" s="1">
        <v>12.618</v>
      </c>
      <c r="I44" s="1">
        <v>3.7949999999999999</v>
      </c>
      <c r="J44" s="1">
        <v>8.0000000000000002E-3</v>
      </c>
      <c r="K44" s="1">
        <v>-0.85699999999999998</v>
      </c>
      <c r="L44" s="3">
        <v>-0.26552799999999999</v>
      </c>
      <c r="M44" s="1">
        <v>0.58399999999999996</v>
      </c>
      <c r="N44" s="1">
        <v>0.66500000000000004</v>
      </c>
      <c r="O44" s="1"/>
      <c r="P44" s="1">
        <v>-0.61399999999999999</v>
      </c>
      <c r="Q44" s="1">
        <v>7.0000000000000001E-3</v>
      </c>
      <c r="R44" s="1">
        <v>-6.0000000000000001E-3</v>
      </c>
      <c r="S44" s="1">
        <v>0.63300000000000001</v>
      </c>
      <c r="T44" s="4">
        <f t="shared" si="0"/>
        <v>0.72099999999999997</v>
      </c>
    </row>
    <row r="45" spans="1:20" x14ac:dyDescent="0.2">
      <c r="A45" s="1" t="s">
        <v>102</v>
      </c>
      <c r="B45" s="1" t="s">
        <v>647</v>
      </c>
      <c r="C45" s="1">
        <v>714</v>
      </c>
      <c r="D45" s="1" t="s">
        <v>374</v>
      </c>
      <c r="E45" s="1" t="s">
        <v>375</v>
      </c>
      <c r="F45" s="1">
        <v>-1.8740000000000001</v>
      </c>
      <c r="G45" s="1">
        <v>-0.30099999999999999</v>
      </c>
      <c r="H45" s="1">
        <v>10.5</v>
      </c>
      <c r="I45" s="1">
        <v>3.3079999999999998</v>
      </c>
      <c r="J45" s="1">
        <v>8.0000000000000002E-3</v>
      </c>
      <c r="K45" s="1">
        <v>-0.85799999999999998</v>
      </c>
      <c r="L45" s="3">
        <v>-0.28600799999999998</v>
      </c>
      <c r="M45" s="1">
        <v>0.56299999999999994</v>
      </c>
      <c r="N45" s="1">
        <v>0.64400000000000002</v>
      </c>
      <c r="O45" s="1"/>
      <c r="P45" s="1">
        <v>-0.46600000000000003</v>
      </c>
      <c r="Q45" s="1">
        <v>7.0000000000000001E-3</v>
      </c>
      <c r="R45" s="1">
        <v>-6.0000000000000001E-3</v>
      </c>
      <c r="S45" s="1">
        <v>0.61199999999999999</v>
      </c>
      <c r="T45" s="4">
        <f t="shared" si="0"/>
        <v>0.7</v>
      </c>
    </row>
    <row r="46" spans="1:20" x14ac:dyDescent="0.2">
      <c r="A46" s="1" t="s">
        <v>102</v>
      </c>
      <c r="B46" s="1" t="s">
        <v>647</v>
      </c>
      <c r="C46" s="1">
        <v>715</v>
      </c>
      <c r="D46" s="1" t="s">
        <v>376</v>
      </c>
      <c r="E46" s="1" t="s">
        <v>377</v>
      </c>
      <c r="F46" s="1">
        <v>-0.2</v>
      </c>
      <c r="G46" s="1">
        <v>-0.27500000000000002</v>
      </c>
      <c r="H46" s="1">
        <v>12.842000000000001</v>
      </c>
      <c r="I46" s="1">
        <v>4.0460000000000003</v>
      </c>
      <c r="J46" s="1">
        <v>8.0000000000000002E-3</v>
      </c>
      <c r="K46" s="1">
        <v>-0.85799999999999998</v>
      </c>
      <c r="L46" s="3">
        <v>-0.27340000000000003</v>
      </c>
      <c r="M46" s="1">
        <v>0.57599999999999996</v>
      </c>
      <c r="N46" s="1">
        <v>0.65700000000000003</v>
      </c>
      <c r="O46" s="1"/>
      <c r="P46" s="1">
        <v>-0.44500000000000001</v>
      </c>
      <c r="Q46" s="1">
        <v>7.0000000000000001E-3</v>
      </c>
      <c r="R46" s="1">
        <v>-6.0000000000000001E-3</v>
      </c>
      <c r="S46" s="1">
        <v>0.625</v>
      </c>
      <c r="T46" s="4">
        <f t="shared" si="0"/>
        <v>0.71299999999999997</v>
      </c>
    </row>
    <row r="47" spans="1:20" x14ac:dyDescent="0.2">
      <c r="A47" s="1" t="s">
        <v>102</v>
      </c>
      <c r="B47" s="1" t="s">
        <v>647</v>
      </c>
      <c r="C47" s="1">
        <v>717</v>
      </c>
      <c r="D47" s="1" t="s">
        <v>380</v>
      </c>
      <c r="E47" s="1" t="s">
        <v>381</v>
      </c>
      <c r="F47" s="1">
        <v>-2.133</v>
      </c>
      <c r="G47" s="1">
        <v>-0.30099999999999999</v>
      </c>
      <c r="H47" s="1">
        <v>10.573</v>
      </c>
      <c r="I47" s="1">
        <v>3.3919999999999999</v>
      </c>
      <c r="J47" s="1">
        <v>8.0000000000000002E-3</v>
      </c>
      <c r="K47" s="1">
        <v>-0.85799999999999998</v>
      </c>
      <c r="L47" s="3">
        <v>-0.28393599999999997</v>
      </c>
      <c r="M47" s="1">
        <v>0.56599999999999995</v>
      </c>
      <c r="N47" s="1">
        <v>0.64700000000000002</v>
      </c>
      <c r="O47" s="1"/>
      <c r="P47" s="1">
        <v>-0.42099999999999999</v>
      </c>
      <c r="Q47" s="1">
        <v>7.0000000000000001E-3</v>
      </c>
      <c r="R47" s="1">
        <v>-6.0000000000000001E-3</v>
      </c>
      <c r="S47" s="1">
        <v>0.61499999999999999</v>
      </c>
      <c r="T47" s="4">
        <f t="shared" si="0"/>
        <v>0.70299999999999996</v>
      </c>
    </row>
    <row r="48" spans="1:20" x14ac:dyDescent="0.2">
      <c r="A48" s="1" t="s">
        <v>102</v>
      </c>
      <c r="B48" s="1" t="s">
        <v>647</v>
      </c>
      <c r="C48" s="1">
        <v>718</v>
      </c>
      <c r="D48" s="1" t="s">
        <v>382</v>
      </c>
      <c r="E48" s="1" t="s">
        <v>383</v>
      </c>
      <c r="F48" s="1">
        <v>-3.02</v>
      </c>
      <c r="G48" s="1">
        <v>-0.308</v>
      </c>
      <c r="H48" s="1">
        <v>9.6440000000000001</v>
      </c>
      <c r="I48" s="1">
        <v>3.2</v>
      </c>
      <c r="J48" s="1">
        <v>8.0000000000000002E-3</v>
      </c>
      <c r="K48" s="1">
        <v>-0.85799999999999998</v>
      </c>
      <c r="L48" s="3">
        <v>-0.28383999999999998</v>
      </c>
      <c r="M48" s="1">
        <v>0.56599999999999995</v>
      </c>
      <c r="N48" s="1">
        <v>0.64700000000000002</v>
      </c>
      <c r="O48" s="1"/>
      <c r="P48" s="1">
        <v>-0.33500000000000002</v>
      </c>
      <c r="Q48" s="1">
        <v>7.0000000000000001E-3</v>
      </c>
      <c r="R48" s="1">
        <v>-7.0000000000000001E-3</v>
      </c>
      <c r="S48" s="1">
        <v>0.61499999999999999</v>
      </c>
      <c r="T48" s="4">
        <f t="shared" si="0"/>
        <v>0.70299999999999996</v>
      </c>
    </row>
    <row r="49" spans="1:20" x14ac:dyDescent="0.2">
      <c r="A49" s="1" t="s">
        <v>102</v>
      </c>
      <c r="B49" s="1" t="s">
        <v>648</v>
      </c>
      <c r="C49" s="1">
        <v>720</v>
      </c>
      <c r="D49" s="1" t="s">
        <v>385</v>
      </c>
      <c r="E49" s="1" t="s">
        <v>373</v>
      </c>
      <c r="F49" s="1">
        <v>0.94799999999999995</v>
      </c>
      <c r="G49" s="1">
        <v>-0.25600000000000001</v>
      </c>
      <c r="H49" s="1">
        <v>13.228</v>
      </c>
      <c r="I49" s="1">
        <v>4.2409999999999997</v>
      </c>
      <c r="J49" s="1">
        <v>8.0000000000000002E-3</v>
      </c>
      <c r="K49" s="1">
        <v>-0.85799999999999998</v>
      </c>
      <c r="L49" s="3">
        <v>-0.26358399999999998</v>
      </c>
      <c r="M49" s="1">
        <v>0.58599999999999997</v>
      </c>
      <c r="N49" s="1">
        <v>0.66700000000000004</v>
      </c>
      <c r="O49" s="1"/>
      <c r="P49" s="1">
        <v>-0.40400000000000003</v>
      </c>
      <c r="Q49" s="1">
        <v>7.0000000000000001E-3</v>
      </c>
      <c r="R49" s="1">
        <v>-7.0000000000000001E-3</v>
      </c>
      <c r="S49" s="1">
        <v>0.63600000000000001</v>
      </c>
      <c r="T49" s="4">
        <f t="shared" si="0"/>
        <v>0.72399999999999998</v>
      </c>
    </row>
    <row r="50" spans="1:20" x14ac:dyDescent="0.2">
      <c r="A50" s="1" t="s">
        <v>102</v>
      </c>
      <c r="B50" s="1" t="s">
        <v>648</v>
      </c>
      <c r="C50" s="1">
        <v>722</v>
      </c>
      <c r="D50" s="1" t="s">
        <v>388</v>
      </c>
      <c r="E50" s="1" t="s">
        <v>377</v>
      </c>
      <c r="F50" s="1">
        <v>-0.17699999999999999</v>
      </c>
      <c r="G50" s="1">
        <v>-0.28000000000000003</v>
      </c>
      <c r="H50" s="1">
        <v>13.38</v>
      </c>
      <c r="I50" s="1">
        <v>4.4870000000000001</v>
      </c>
      <c r="J50" s="1">
        <v>8.0000000000000002E-3</v>
      </c>
      <c r="K50" s="1">
        <v>-0.85799999999999998</v>
      </c>
      <c r="L50" s="3">
        <v>-0.27858400000000005</v>
      </c>
      <c r="M50" s="1">
        <v>0.57099999999999995</v>
      </c>
      <c r="N50" s="1">
        <v>0.65200000000000002</v>
      </c>
      <c r="O50" s="1"/>
      <c r="P50" s="1">
        <v>-0.219</v>
      </c>
      <c r="Q50" s="1">
        <v>7.0000000000000001E-3</v>
      </c>
      <c r="R50" s="1">
        <v>-7.0000000000000001E-3</v>
      </c>
      <c r="S50" s="1">
        <v>0.621</v>
      </c>
      <c r="T50" s="4">
        <f t="shared" si="0"/>
        <v>0.70899999999999996</v>
      </c>
    </row>
    <row r="51" spans="1:20" x14ac:dyDescent="0.2">
      <c r="A51" s="1" t="s">
        <v>102</v>
      </c>
      <c r="B51" s="1" t="s">
        <v>648</v>
      </c>
      <c r="C51" s="1">
        <v>723</v>
      </c>
      <c r="D51" s="1" t="s">
        <v>389</v>
      </c>
      <c r="E51" s="1" t="s">
        <v>381</v>
      </c>
      <c r="F51" s="1">
        <v>-2.1040000000000001</v>
      </c>
      <c r="G51" s="1">
        <v>-0.28299999999999997</v>
      </c>
      <c r="H51" s="1">
        <v>10.807</v>
      </c>
      <c r="I51" s="1">
        <v>3.6219999999999999</v>
      </c>
      <c r="J51" s="1">
        <v>8.0000000000000002E-3</v>
      </c>
      <c r="K51" s="1">
        <v>-0.85799999999999998</v>
      </c>
      <c r="L51" s="3">
        <v>-0.26616799999999996</v>
      </c>
      <c r="M51" s="1">
        <v>0.58399999999999996</v>
      </c>
      <c r="N51" s="1">
        <v>0.66500000000000004</v>
      </c>
      <c r="O51" s="1"/>
      <c r="P51" s="1">
        <v>-0.29699999999999999</v>
      </c>
      <c r="Q51" s="1">
        <v>7.0000000000000001E-3</v>
      </c>
      <c r="R51" s="1">
        <v>-8.0000000000000002E-3</v>
      </c>
      <c r="S51" s="1">
        <v>0.63400000000000001</v>
      </c>
      <c r="T51" s="4">
        <f t="shared" si="0"/>
        <v>0.72199999999999998</v>
      </c>
    </row>
    <row r="52" spans="1:20" x14ac:dyDescent="0.2">
      <c r="A52" s="1" t="s">
        <v>102</v>
      </c>
      <c r="B52" s="1" t="s">
        <v>649</v>
      </c>
      <c r="C52" s="1">
        <v>724</v>
      </c>
      <c r="D52" s="1" t="s">
        <v>390</v>
      </c>
      <c r="E52" s="1" t="s">
        <v>383</v>
      </c>
      <c r="F52" s="1">
        <v>-2.968</v>
      </c>
      <c r="G52" s="1">
        <v>-0.314</v>
      </c>
      <c r="H52" s="1">
        <v>9.8320000000000007</v>
      </c>
      <c r="I52" s="1">
        <v>3.3719999999999999</v>
      </c>
      <c r="J52" s="1">
        <v>8.0000000000000002E-3</v>
      </c>
      <c r="K52" s="1">
        <v>-0.85899999999999999</v>
      </c>
      <c r="L52" s="3">
        <v>-0.29025600000000001</v>
      </c>
      <c r="M52" s="1">
        <v>0.56000000000000005</v>
      </c>
      <c r="N52" s="1">
        <v>0.64100000000000001</v>
      </c>
      <c r="O52" s="1"/>
      <c r="P52" s="1">
        <v>-0.252</v>
      </c>
      <c r="Q52" s="1">
        <v>7.0000000000000001E-3</v>
      </c>
      <c r="R52" s="1">
        <v>-8.0000000000000002E-3</v>
      </c>
      <c r="S52" s="1">
        <v>0.61</v>
      </c>
      <c r="T52" s="4">
        <f t="shared" si="0"/>
        <v>0.69799999999999995</v>
      </c>
    </row>
    <row r="53" spans="1:20" x14ac:dyDescent="0.2">
      <c r="A53" s="1" t="s">
        <v>102</v>
      </c>
      <c r="B53" s="1" t="s">
        <v>656</v>
      </c>
      <c r="C53" s="1">
        <v>774</v>
      </c>
      <c r="D53" s="1" t="s">
        <v>408</v>
      </c>
      <c r="E53" s="1" t="s">
        <v>375</v>
      </c>
      <c r="F53" s="1">
        <v>-1.978</v>
      </c>
      <c r="G53" s="1">
        <v>-0.28799999999999998</v>
      </c>
      <c r="H53" s="1">
        <v>11.436999999999999</v>
      </c>
      <c r="I53" s="1">
        <v>4.3</v>
      </c>
      <c r="J53" s="1">
        <v>0.01</v>
      </c>
      <c r="K53" s="1">
        <v>-0.86299999999999999</v>
      </c>
      <c r="L53" s="3">
        <v>-0.26821999999999996</v>
      </c>
      <c r="M53" s="1">
        <v>0.58199999999999996</v>
      </c>
      <c r="N53" s="1">
        <v>0.66300000000000003</v>
      </c>
      <c r="O53" s="1"/>
      <c r="P53" s="1">
        <v>-0.113</v>
      </c>
      <c r="Q53" s="1">
        <v>8.9999999999999993E-3</v>
      </c>
      <c r="R53" s="1">
        <v>-1.4999999999999999E-2</v>
      </c>
      <c r="S53" s="1">
        <v>0.63800000000000001</v>
      </c>
      <c r="T53" s="4">
        <f t="shared" si="0"/>
        <v>0.72599999999999998</v>
      </c>
    </row>
    <row r="54" spans="1:20" x14ac:dyDescent="0.2">
      <c r="A54" s="1" t="s">
        <v>102</v>
      </c>
      <c r="B54" s="1" t="s">
        <v>656</v>
      </c>
      <c r="C54" s="1">
        <v>775</v>
      </c>
      <c r="D54" s="1" t="s">
        <v>409</v>
      </c>
      <c r="E54" s="1" t="s">
        <v>383</v>
      </c>
      <c r="F54" s="1">
        <v>-2.9990000000000001</v>
      </c>
      <c r="G54" s="1">
        <v>-0.29199999999999998</v>
      </c>
      <c r="H54" s="1">
        <v>10.209</v>
      </c>
      <c r="I54" s="1">
        <v>3.8170000000000002</v>
      </c>
      <c r="J54" s="1">
        <v>0.01</v>
      </c>
      <c r="K54" s="1">
        <v>-0.86299999999999999</v>
      </c>
      <c r="L54" s="3">
        <v>-0.26200999999999997</v>
      </c>
      <c r="M54" s="1">
        <v>0.58799999999999997</v>
      </c>
      <c r="N54" s="1">
        <v>0.66900000000000004</v>
      </c>
      <c r="O54" s="1"/>
      <c r="P54" s="1">
        <v>-0.189</v>
      </c>
      <c r="Q54" s="1">
        <v>8.9999999999999993E-3</v>
      </c>
      <c r="R54" s="1">
        <v>-1.4999999999999999E-2</v>
      </c>
      <c r="S54" s="1">
        <v>0.64400000000000002</v>
      </c>
      <c r="T54" s="4">
        <f t="shared" si="0"/>
        <v>0.73199999999999998</v>
      </c>
    </row>
    <row r="55" spans="1:20" x14ac:dyDescent="0.2">
      <c r="A55" s="1" t="s">
        <v>102</v>
      </c>
      <c r="B55" s="1" t="s">
        <v>656</v>
      </c>
      <c r="C55" s="1">
        <v>777</v>
      </c>
      <c r="D55" s="1" t="s">
        <v>412</v>
      </c>
      <c r="E55" s="1" t="s">
        <v>381</v>
      </c>
      <c r="F55" s="1">
        <v>-2.1120000000000001</v>
      </c>
      <c r="G55" s="1">
        <v>-0.28399999999999997</v>
      </c>
      <c r="H55" s="1">
        <v>11.311999999999999</v>
      </c>
      <c r="I55" s="1">
        <v>4.13</v>
      </c>
      <c r="J55" s="1">
        <v>0.01</v>
      </c>
      <c r="K55" s="1">
        <v>-0.86399999999999999</v>
      </c>
      <c r="L55" s="3">
        <v>-0.26288</v>
      </c>
      <c r="M55" s="1">
        <v>0.58699999999999997</v>
      </c>
      <c r="N55" s="1">
        <v>0.66800000000000004</v>
      </c>
      <c r="O55" s="1"/>
      <c r="P55" s="1">
        <v>-0.25700000000000001</v>
      </c>
      <c r="Q55" s="1">
        <v>8.9999999999999993E-3</v>
      </c>
      <c r="R55" s="1">
        <v>-1.4999999999999999E-2</v>
      </c>
      <c r="S55" s="1">
        <v>0.64400000000000002</v>
      </c>
      <c r="T55" s="4">
        <f t="shared" si="0"/>
        <v>0.73199999999999998</v>
      </c>
    </row>
    <row r="56" spans="1:20" x14ac:dyDescent="0.2">
      <c r="A56" s="1" t="s">
        <v>102</v>
      </c>
      <c r="B56" s="1" t="s">
        <v>657</v>
      </c>
      <c r="C56" s="1">
        <v>779</v>
      </c>
      <c r="D56" s="1" t="s">
        <v>414</v>
      </c>
      <c r="E56" s="1" t="s">
        <v>377</v>
      </c>
      <c r="F56" s="1">
        <v>-0.23300000000000001</v>
      </c>
      <c r="G56" s="1">
        <v>-0.28799999999999998</v>
      </c>
      <c r="H56" s="1">
        <v>13.904</v>
      </c>
      <c r="I56" s="1">
        <v>5.056</v>
      </c>
      <c r="J56" s="1">
        <v>0.01</v>
      </c>
      <c r="K56" s="1">
        <v>-0.86399999999999999</v>
      </c>
      <c r="L56" s="3">
        <v>-0.28566999999999998</v>
      </c>
      <c r="M56" s="1">
        <v>0.56599999999999995</v>
      </c>
      <c r="N56" s="1">
        <v>0.64700000000000002</v>
      </c>
      <c r="O56" s="1"/>
      <c r="P56" s="1">
        <v>-0.218</v>
      </c>
      <c r="Q56" s="1">
        <v>8.9999999999999993E-3</v>
      </c>
      <c r="R56" s="1">
        <v>-1.4999999999999999E-2</v>
      </c>
      <c r="S56" s="1">
        <v>0.621</v>
      </c>
      <c r="T56" s="4">
        <f t="shared" si="0"/>
        <v>0.70899999999999996</v>
      </c>
    </row>
    <row r="57" spans="1:20" x14ac:dyDescent="0.2">
      <c r="A57" s="1" t="s">
        <v>102</v>
      </c>
      <c r="B57" s="1" t="s">
        <v>657</v>
      </c>
      <c r="C57" s="1">
        <v>780</v>
      </c>
      <c r="D57" s="1" t="s">
        <v>415</v>
      </c>
      <c r="E57" s="1" t="s">
        <v>375</v>
      </c>
      <c r="F57" s="1">
        <v>-1.978</v>
      </c>
      <c r="G57" s="1">
        <v>-0.30399999999999999</v>
      </c>
      <c r="H57" s="1">
        <v>11.398999999999999</v>
      </c>
      <c r="I57" s="1">
        <v>4.2510000000000003</v>
      </c>
      <c r="J57" s="1">
        <v>0.01</v>
      </c>
      <c r="K57" s="1">
        <v>-0.86399999999999999</v>
      </c>
      <c r="L57" s="3">
        <v>-0.28421999999999997</v>
      </c>
      <c r="M57" s="1">
        <v>0.56699999999999995</v>
      </c>
      <c r="N57" s="1">
        <v>0.64800000000000002</v>
      </c>
      <c r="O57" s="1"/>
      <c r="P57" s="1">
        <v>-0.182</v>
      </c>
      <c r="Q57" s="1">
        <v>8.9999999999999993E-3</v>
      </c>
      <c r="R57" s="1">
        <v>-1.4999999999999999E-2</v>
      </c>
      <c r="S57" s="1">
        <v>0.622</v>
      </c>
      <c r="T57" s="4">
        <f t="shared" si="0"/>
        <v>0.71</v>
      </c>
    </row>
    <row r="58" spans="1:20" x14ac:dyDescent="0.2">
      <c r="A58" s="1" t="s">
        <v>102</v>
      </c>
      <c r="B58" s="1" t="s">
        <v>657</v>
      </c>
      <c r="C58" s="1">
        <v>781</v>
      </c>
      <c r="D58" s="1" t="s">
        <v>416</v>
      </c>
      <c r="E58" s="1" t="s">
        <v>373</v>
      </c>
      <c r="F58" s="1">
        <v>1.0149999999999999</v>
      </c>
      <c r="G58" s="1">
        <v>-0.27800000000000002</v>
      </c>
      <c r="H58" s="1">
        <v>14.292999999999999</v>
      </c>
      <c r="I58" s="1">
        <v>5.117</v>
      </c>
      <c r="J58" s="1">
        <v>0.01</v>
      </c>
      <c r="K58" s="1">
        <v>-0.86399999999999999</v>
      </c>
      <c r="L58" s="3">
        <v>-0.28815000000000002</v>
      </c>
      <c r="M58" s="1">
        <v>0.56399999999999995</v>
      </c>
      <c r="N58" s="1">
        <v>0.64500000000000002</v>
      </c>
      <c r="O58" s="1"/>
      <c r="P58" s="1">
        <v>-0.30199999999999999</v>
      </c>
      <c r="Q58" s="1">
        <v>8.9999999999999993E-3</v>
      </c>
      <c r="R58" s="1">
        <v>-1.4999999999999999E-2</v>
      </c>
      <c r="S58" s="1">
        <v>0.61899999999999999</v>
      </c>
      <c r="T58" s="4">
        <f t="shared" si="0"/>
        <v>0.70699999999999996</v>
      </c>
    </row>
    <row r="59" spans="1:20" x14ac:dyDescent="0.2">
      <c r="A59" s="1" t="s">
        <v>102</v>
      </c>
      <c r="B59" s="1" t="s">
        <v>446</v>
      </c>
      <c r="C59" s="1">
        <v>844</v>
      </c>
      <c r="D59" s="1" t="s">
        <v>447</v>
      </c>
      <c r="E59" s="1" t="s">
        <v>448</v>
      </c>
      <c r="F59" s="1">
        <v>-1.9470000000000001</v>
      </c>
      <c r="G59" s="1">
        <v>-0.28899999999999998</v>
      </c>
      <c r="H59" s="1">
        <v>12.823</v>
      </c>
      <c r="I59" s="1">
        <v>5.0999999999999996</v>
      </c>
      <c r="J59" s="1">
        <v>1.0999999999999999E-2</v>
      </c>
      <c r="K59" s="1">
        <v>-0.86899999999999999</v>
      </c>
      <c r="L59" s="3">
        <v>-0.26758299999999996</v>
      </c>
      <c r="M59" s="1">
        <v>0.58499999999999996</v>
      </c>
      <c r="N59" s="1">
        <v>0.66600000000000004</v>
      </c>
      <c r="O59" s="1"/>
      <c r="P59" s="1">
        <v>-0.17299999999999999</v>
      </c>
      <c r="Q59" s="1">
        <v>0.01</v>
      </c>
      <c r="R59" s="1">
        <v>-1.7999999999999999E-2</v>
      </c>
      <c r="S59" s="1">
        <v>0.64400000000000002</v>
      </c>
      <c r="T59" s="4">
        <f t="shared" si="0"/>
        <v>0.73199999999999998</v>
      </c>
    </row>
    <row r="60" spans="1:20" x14ac:dyDescent="0.2">
      <c r="A60" s="1" t="s">
        <v>102</v>
      </c>
      <c r="B60" s="1" t="s">
        <v>446</v>
      </c>
      <c r="C60" s="1">
        <v>845</v>
      </c>
      <c r="D60" s="1" t="s">
        <v>449</v>
      </c>
      <c r="E60" s="1" t="s">
        <v>450</v>
      </c>
      <c r="F60" s="1">
        <v>-0.59499999999999997</v>
      </c>
      <c r="G60" s="1">
        <v>-0.28899999999999998</v>
      </c>
      <c r="H60" s="1">
        <v>14.143000000000001</v>
      </c>
      <c r="I60" s="1">
        <v>5.4370000000000003</v>
      </c>
      <c r="J60" s="1">
        <v>1.0999999999999999E-2</v>
      </c>
      <c r="K60" s="1">
        <v>-0.86899999999999999</v>
      </c>
      <c r="L60" s="3">
        <v>-0.28245499999999996</v>
      </c>
      <c r="M60" s="1">
        <v>0.57099999999999995</v>
      </c>
      <c r="N60" s="1">
        <v>0.65200000000000002</v>
      </c>
      <c r="O60" s="1"/>
      <c r="P60" s="1">
        <v>-0.317</v>
      </c>
      <c r="Q60" s="1">
        <v>0.01</v>
      </c>
      <c r="R60" s="1">
        <v>-1.7999999999999999E-2</v>
      </c>
      <c r="S60" s="1">
        <v>0.628</v>
      </c>
      <c r="T60" s="4">
        <f t="shared" si="0"/>
        <v>0.71599999999999997</v>
      </c>
    </row>
    <row r="61" spans="1:20" x14ac:dyDescent="0.2">
      <c r="A61" s="1" t="s">
        <v>102</v>
      </c>
      <c r="B61" s="1" t="s">
        <v>446</v>
      </c>
      <c r="C61" s="1">
        <v>846</v>
      </c>
      <c r="D61" s="1" t="s">
        <v>451</v>
      </c>
      <c r="E61" s="1" t="s">
        <v>448</v>
      </c>
      <c r="F61" s="1">
        <v>-1.9910000000000001</v>
      </c>
      <c r="G61" s="1">
        <v>-0.29799999999999999</v>
      </c>
      <c r="H61" s="1">
        <v>12.65</v>
      </c>
      <c r="I61" s="1">
        <v>5.0010000000000003</v>
      </c>
      <c r="J61" s="1">
        <v>1.0999999999999999E-2</v>
      </c>
      <c r="K61" s="1">
        <v>-0.86899999999999999</v>
      </c>
      <c r="L61" s="3">
        <v>-0.27609899999999998</v>
      </c>
      <c r="M61" s="1">
        <v>0.57699999999999996</v>
      </c>
      <c r="N61" s="1">
        <v>0.65800000000000003</v>
      </c>
      <c r="O61" s="1"/>
      <c r="P61" s="1">
        <v>-0.22</v>
      </c>
      <c r="Q61" s="1">
        <v>0.01</v>
      </c>
      <c r="R61" s="1">
        <v>-1.7999999999999999E-2</v>
      </c>
      <c r="S61" s="1">
        <v>0.63500000000000001</v>
      </c>
      <c r="T61" s="4">
        <f t="shared" si="0"/>
        <v>0.72299999999999998</v>
      </c>
    </row>
    <row r="62" spans="1:20" x14ac:dyDescent="0.2">
      <c r="A62" s="1" t="s">
        <v>102</v>
      </c>
      <c r="B62" s="1" t="s">
        <v>446</v>
      </c>
      <c r="C62" s="1">
        <v>847</v>
      </c>
      <c r="D62" s="1" t="s">
        <v>452</v>
      </c>
      <c r="E62" s="1" t="s">
        <v>448</v>
      </c>
      <c r="F62" s="1">
        <v>-1.9430000000000001</v>
      </c>
      <c r="G62" s="1">
        <v>-0.28599999999999998</v>
      </c>
      <c r="H62" s="1">
        <v>12.728999999999999</v>
      </c>
      <c r="I62" s="1">
        <v>5.0179999999999998</v>
      </c>
      <c r="J62" s="1">
        <v>1.0999999999999999E-2</v>
      </c>
      <c r="K62" s="1">
        <v>-0.86899999999999999</v>
      </c>
      <c r="L62" s="3">
        <v>-0.264627</v>
      </c>
      <c r="M62" s="1">
        <v>0.58799999999999997</v>
      </c>
      <c r="N62" s="1">
        <v>0.66900000000000004</v>
      </c>
      <c r="O62" s="1"/>
      <c r="P62" s="1">
        <v>-0.23599999999999999</v>
      </c>
      <c r="Q62" s="1">
        <v>0.01</v>
      </c>
      <c r="R62" s="1">
        <v>-1.7999999999999999E-2</v>
      </c>
      <c r="S62" s="1">
        <v>0.64700000000000002</v>
      </c>
      <c r="T62" s="4">
        <f t="shared" si="0"/>
        <v>0.73499999999999999</v>
      </c>
    </row>
    <row r="63" spans="1:20" x14ac:dyDescent="0.2">
      <c r="A63" s="1" t="s">
        <v>102</v>
      </c>
      <c r="B63" s="1" t="s">
        <v>453</v>
      </c>
      <c r="C63" s="1">
        <v>850</v>
      </c>
      <c r="D63" s="1" t="s">
        <v>457</v>
      </c>
      <c r="E63" s="1" t="s">
        <v>450</v>
      </c>
      <c r="F63" s="1">
        <v>-0.60099999999999998</v>
      </c>
      <c r="G63" s="1">
        <v>-0.27700000000000002</v>
      </c>
      <c r="H63" s="1">
        <v>14.156000000000001</v>
      </c>
      <c r="I63" s="1">
        <v>5.468</v>
      </c>
      <c r="J63" s="1">
        <v>1.0999999999999999E-2</v>
      </c>
      <c r="K63" s="1">
        <v>-0.87</v>
      </c>
      <c r="L63" s="3">
        <v>-0.27038900000000005</v>
      </c>
      <c r="M63" s="1">
        <v>0.58299999999999996</v>
      </c>
      <c r="N63" s="1">
        <v>0.66400000000000003</v>
      </c>
      <c r="O63" s="1"/>
      <c r="P63" s="1">
        <v>-0.317</v>
      </c>
      <c r="Q63" s="1">
        <v>0.01</v>
      </c>
      <c r="R63" s="1">
        <v>-1.7999999999999999E-2</v>
      </c>
      <c r="S63" s="1">
        <v>0.64100000000000001</v>
      </c>
      <c r="T63" s="4">
        <f t="shared" si="0"/>
        <v>0.72899999999999998</v>
      </c>
    </row>
    <row r="64" spans="1:20" x14ac:dyDescent="0.2">
      <c r="A64" s="1" t="s">
        <v>102</v>
      </c>
      <c r="B64" s="1" t="s">
        <v>458</v>
      </c>
      <c r="C64" s="1">
        <v>851</v>
      </c>
      <c r="D64" s="1" t="s">
        <v>459</v>
      </c>
      <c r="E64" s="1" t="s">
        <v>450</v>
      </c>
      <c r="F64" s="1">
        <v>-0.625</v>
      </c>
      <c r="G64" s="1">
        <v>-0.27700000000000002</v>
      </c>
      <c r="H64" s="1">
        <v>14.268000000000001</v>
      </c>
      <c r="I64" s="1">
        <v>5.5709999999999997</v>
      </c>
      <c r="J64" s="1">
        <v>1.0999999999999999E-2</v>
      </c>
      <c r="K64" s="1">
        <v>-0.87</v>
      </c>
      <c r="L64" s="3">
        <v>-0.270125</v>
      </c>
      <c r="M64" s="1">
        <v>0.58299999999999996</v>
      </c>
      <c r="N64" s="1">
        <v>0.66400000000000003</v>
      </c>
      <c r="O64" s="1"/>
      <c r="P64" s="1">
        <v>-0.26</v>
      </c>
      <c r="Q64" s="1">
        <v>0.01</v>
      </c>
      <c r="R64" s="1">
        <v>-1.7999999999999999E-2</v>
      </c>
      <c r="S64" s="1">
        <v>0.64100000000000001</v>
      </c>
      <c r="T64" s="4">
        <f t="shared" si="0"/>
        <v>0.72899999999999998</v>
      </c>
    </row>
    <row r="65" spans="1:20" x14ac:dyDescent="0.2">
      <c r="A65" s="1" t="s">
        <v>102</v>
      </c>
      <c r="B65" s="1" t="s">
        <v>458</v>
      </c>
      <c r="C65" s="1">
        <v>852</v>
      </c>
      <c r="D65" s="1" t="s">
        <v>460</v>
      </c>
      <c r="E65" s="1" t="s">
        <v>461</v>
      </c>
      <c r="F65" s="1">
        <v>-1.1830000000000001</v>
      </c>
      <c r="G65" s="1">
        <v>-0.28000000000000003</v>
      </c>
      <c r="H65" s="1">
        <v>14.085000000000001</v>
      </c>
      <c r="I65" s="1">
        <v>5.4749999999999996</v>
      </c>
      <c r="J65" s="1">
        <v>1.0999999999999999E-2</v>
      </c>
      <c r="K65" s="1">
        <v>-0.87</v>
      </c>
      <c r="L65" s="3">
        <v>-0.26698700000000003</v>
      </c>
      <c r="M65" s="1">
        <v>0.58599999999999997</v>
      </c>
      <c r="N65" s="1">
        <v>0.66700000000000004</v>
      </c>
      <c r="O65" s="1"/>
      <c r="P65" s="1">
        <v>-0.29499999999999998</v>
      </c>
      <c r="Q65" s="1">
        <v>0.01</v>
      </c>
      <c r="R65" s="1">
        <v>-1.7999999999999999E-2</v>
      </c>
      <c r="S65" s="1">
        <v>0.64500000000000002</v>
      </c>
      <c r="T65" s="4">
        <f t="shared" si="0"/>
        <v>0.73299999999999998</v>
      </c>
    </row>
    <row r="66" spans="1:20" x14ac:dyDescent="0.2">
      <c r="A66" s="1" t="s">
        <v>102</v>
      </c>
      <c r="B66" s="1" t="s">
        <v>458</v>
      </c>
      <c r="C66" s="1">
        <v>853</v>
      </c>
      <c r="D66" s="1" t="s">
        <v>462</v>
      </c>
      <c r="E66" s="1" t="s">
        <v>461</v>
      </c>
      <c r="F66" s="1">
        <v>-1.179</v>
      </c>
      <c r="G66" s="1">
        <v>-0.27700000000000002</v>
      </c>
      <c r="H66" s="1">
        <v>14.191000000000001</v>
      </c>
      <c r="I66" s="1">
        <v>5.5759999999999996</v>
      </c>
      <c r="J66" s="1">
        <v>1.0999999999999999E-2</v>
      </c>
      <c r="K66" s="1">
        <v>-0.87</v>
      </c>
      <c r="L66" s="3">
        <v>-0.26403100000000002</v>
      </c>
      <c r="M66" s="1">
        <v>0.58899999999999997</v>
      </c>
      <c r="N66" s="1">
        <v>0.67</v>
      </c>
      <c r="O66" s="1"/>
      <c r="P66" s="1">
        <v>-0.23699999999999999</v>
      </c>
      <c r="Q66" s="1">
        <v>0.01</v>
      </c>
      <c r="R66" s="1">
        <v>-1.7999999999999999E-2</v>
      </c>
      <c r="S66" s="1">
        <v>0.64800000000000002</v>
      </c>
      <c r="T66" s="4">
        <f t="shared" si="0"/>
        <v>0.73599999999999999</v>
      </c>
    </row>
    <row r="67" spans="1:20" x14ac:dyDescent="0.2">
      <c r="A67" s="1" t="s">
        <v>102</v>
      </c>
      <c r="B67" s="1" t="s">
        <v>464</v>
      </c>
      <c r="C67" s="1">
        <v>855</v>
      </c>
      <c r="D67" s="1" t="s">
        <v>465</v>
      </c>
      <c r="E67" s="1" t="s">
        <v>466</v>
      </c>
      <c r="F67" s="1">
        <v>-3.867</v>
      </c>
      <c r="G67" s="1">
        <v>-0.32900000000000001</v>
      </c>
      <c r="H67" s="1">
        <v>8.4350000000000005</v>
      </c>
      <c r="I67" s="1">
        <v>3.4740000000000002</v>
      </c>
      <c r="J67" s="1">
        <v>1.0999999999999999E-2</v>
      </c>
      <c r="K67" s="1">
        <v>-0.87</v>
      </c>
      <c r="L67" s="3">
        <v>-0.28646300000000002</v>
      </c>
      <c r="M67" s="1">
        <v>0.56799999999999995</v>
      </c>
      <c r="N67" s="1">
        <v>0.64900000000000002</v>
      </c>
      <c r="O67" s="1"/>
      <c r="P67" s="1">
        <v>-0.26300000000000001</v>
      </c>
      <c r="Q67" s="1">
        <v>1.0999999999999999E-2</v>
      </c>
      <c r="R67" s="1">
        <v>-1.7999999999999999E-2</v>
      </c>
      <c r="S67" s="1">
        <v>0.625</v>
      </c>
      <c r="T67" s="4">
        <f t="shared" ref="T67:T92" si="1">S67+0.088</f>
        <v>0.71299999999999997</v>
      </c>
    </row>
    <row r="68" spans="1:20" x14ac:dyDescent="0.2">
      <c r="A68" s="1" t="s">
        <v>102</v>
      </c>
      <c r="B68" s="1" t="s">
        <v>464</v>
      </c>
      <c r="C68" s="1">
        <v>857</v>
      </c>
      <c r="D68" s="1" t="s">
        <v>468</v>
      </c>
      <c r="E68" s="1" t="s">
        <v>461</v>
      </c>
      <c r="F68" s="1">
        <v>-1.159</v>
      </c>
      <c r="G68" s="1">
        <v>-0.3</v>
      </c>
      <c r="H68" s="1">
        <v>14.326000000000001</v>
      </c>
      <c r="I68" s="1">
        <v>5.6639999999999997</v>
      </c>
      <c r="J68" s="1">
        <v>1.0999999999999999E-2</v>
      </c>
      <c r="K68" s="1">
        <v>-0.87</v>
      </c>
      <c r="L68" s="3">
        <v>-0.28725099999999998</v>
      </c>
      <c r="M68" s="1">
        <v>0.56699999999999995</v>
      </c>
      <c r="N68" s="1">
        <v>0.64800000000000002</v>
      </c>
      <c r="O68" s="1"/>
      <c r="P68" s="1">
        <v>-0.219</v>
      </c>
      <c r="Q68" s="1">
        <v>1.0999999999999999E-2</v>
      </c>
      <c r="R68" s="1">
        <v>-1.7999999999999999E-2</v>
      </c>
      <c r="S68" s="1">
        <v>0.624</v>
      </c>
      <c r="T68" s="4">
        <f t="shared" si="1"/>
        <v>0.71199999999999997</v>
      </c>
    </row>
    <row r="69" spans="1:20" x14ac:dyDescent="0.2">
      <c r="A69" s="1" t="s">
        <v>102</v>
      </c>
      <c r="B69" s="1" t="s">
        <v>464</v>
      </c>
      <c r="C69" s="1">
        <v>858</v>
      </c>
      <c r="D69" s="1" t="s">
        <v>469</v>
      </c>
      <c r="E69" s="1" t="s">
        <v>466</v>
      </c>
      <c r="F69" s="1">
        <v>-3.9350000000000001</v>
      </c>
      <c r="G69" s="1">
        <v>-0.315</v>
      </c>
      <c r="H69" s="1">
        <v>8.2270000000000003</v>
      </c>
      <c r="I69" s="1">
        <v>3.351</v>
      </c>
      <c r="J69" s="1">
        <v>1.0999999999999999E-2</v>
      </c>
      <c r="K69" s="1">
        <v>-0.87</v>
      </c>
      <c r="L69" s="3">
        <v>-0.27171499999999998</v>
      </c>
      <c r="M69" s="1">
        <v>0.58299999999999996</v>
      </c>
      <c r="N69" s="1">
        <v>0.66400000000000003</v>
      </c>
      <c r="O69" s="1"/>
      <c r="P69" s="1">
        <v>-0.32300000000000001</v>
      </c>
      <c r="Q69" s="1">
        <v>1.0999999999999999E-2</v>
      </c>
      <c r="R69" s="1">
        <v>-1.7999999999999999E-2</v>
      </c>
      <c r="S69" s="1">
        <v>0.64100000000000001</v>
      </c>
      <c r="T69" s="4">
        <f t="shared" si="1"/>
        <v>0.72899999999999998</v>
      </c>
    </row>
    <row r="70" spans="1:20" x14ac:dyDescent="0.2">
      <c r="A70" s="1" t="s">
        <v>102</v>
      </c>
      <c r="B70" s="1" t="s">
        <v>464</v>
      </c>
      <c r="C70" s="1">
        <v>859</v>
      </c>
      <c r="D70" s="1" t="s">
        <v>470</v>
      </c>
      <c r="E70" s="1" t="s">
        <v>466</v>
      </c>
      <c r="F70" s="1">
        <v>-3.923</v>
      </c>
      <c r="G70" s="1">
        <v>-0.32500000000000001</v>
      </c>
      <c r="H70" s="1">
        <v>8.4</v>
      </c>
      <c r="I70" s="1">
        <v>3.484</v>
      </c>
      <c r="J70" s="1">
        <v>1.0999999999999999E-2</v>
      </c>
      <c r="K70" s="1">
        <v>-0.87</v>
      </c>
      <c r="L70" s="3">
        <v>-0.28184700000000001</v>
      </c>
      <c r="M70" s="1">
        <v>0.57299999999999995</v>
      </c>
      <c r="N70" s="1">
        <v>0.65400000000000003</v>
      </c>
      <c r="O70" s="1"/>
      <c r="P70" s="1">
        <v>-0.25700000000000001</v>
      </c>
      <c r="Q70" s="1">
        <v>1.0999999999999999E-2</v>
      </c>
      <c r="R70" s="1">
        <v>-1.7999999999999999E-2</v>
      </c>
      <c r="S70" s="1">
        <v>0.63100000000000001</v>
      </c>
      <c r="T70" s="4">
        <f t="shared" si="1"/>
        <v>0.71899999999999997</v>
      </c>
    </row>
    <row r="71" spans="1:20" x14ac:dyDescent="0.2">
      <c r="A71" s="1" t="s">
        <v>102</v>
      </c>
      <c r="B71" s="1" t="s">
        <v>492</v>
      </c>
      <c r="C71" s="1">
        <v>896</v>
      </c>
      <c r="D71" s="1" t="s">
        <v>494</v>
      </c>
      <c r="E71" s="1" t="s">
        <v>495</v>
      </c>
      <c r="F71" s="1">
        <v>1.7430000000000001</v>
      </c>
      <c r="G71" s="1">
        <v>-0.222</v>
      </c>
      <c r="H71" s="1">
        <v>14.961</v>
      </c>
      <c r="I71" s="1">
        <v>5.8220000000000001</v>
      </c>
      <c r="J71" s="1">
        <v>1.2E-2</v>
      </c>
      <c r="K71" s="1">
        <v>-0.873</v>
      </c>
      <c r="L71" s="3">
        <v>-0.24291599999999999</v>
      </c>
      <c r="M71" s="1">
        <v>0.61</v>
      </c>
      <c r="N71" s="1">
        <v>0.69099999999999995</v>
      </c>
      <c r="O71" s="1"/>
      <c r="P71" s="1">
        <v>-0.48099999999999998</v>
      </c>
      <c r="Q71" s="1">
        <v>1.0999999999999999E-2</v>
      </c>
      <c r="R71" s="1">
        <v>-1.6E-2</v>
      </c>
      <c r="S71" s="1">
        <v>0.66800000000000004</v>
      </c>
      <c r="T71" s="4">
        <f t="shared" si="1"/>
        <v>0.75600000000000001</v>
      </c>
    </row>
    <row r="72" spans="1:20" x14ac:dyDescent="0.2">
      <c r="A72" s="1" t="s">
        <v>102</v>
      </c>
      <c r="B72" s="1" t="s">
        <v>492</v>
      </c>
      <c r="C72" s="1">
        <v>897</v>
      </c>
      <c r="D72" s="1" t="s">
        <v>496</v>
      </c>
      <c r="E72" s="1" t="s">
        <v>497</v>
      </c>
      <c r="F72" s="1">
        <v>1.901</v>
      </c>
      <c r="G72" s="1">
        <v>-0.19900000000000001</v>
      </c>
      <c r="H72" s="1">
        <v>14.397</v>
      </c>
      <c r="I72" s="1">
        <v>5.5570000000000004</v>
      </c>
      <c r="J72" s="1">
        <v>1.2E-2</v>
      </c>
      <c r="K72" s="1">
        <v>-0.873</v>
      </c>
      <c r="L72" s="3">
        <v>-0.22181200000000001</v>
      </c>
      <c r="M72" s="1">
        <v>0.63100000000000001</v>
      </c>
      <c r="N72" s="1">
        <v>0.71199999999999997</v>
      </c>
      <c r="O72" s="1"/>
      <c r="P72" s="1">
        <v>-0.54300000000000004</v>
      </c>
      <c r="Q72" s="1">
        <v>1.0999999999999999E-2</v>
      </c>
      <c r="R72" s="1">
        <v>-1.6E-2</v>
      </c>
      <c r="S72" s="1">
        <v>0.69</v>
      </c>
      <c r="T72" s="4">
        <f t="shared" si="1"/>
        <v>0.77799999999999991</v>
      </c>
    </row>
    <row r="73" spans="1:20" x14ac:dyDescent="0.2">
      <c r="A73" s="1" t="s">
        <v>102</v>
      </c>
      <c r="B73" s="1" t="s">
        <v>498</v>
      </c>
      <c r="C73" s="1">
        <v>899</v>
      </c>
      <c r="D73" s="1" t="s">
        <v>500</v>
      </c>
      <c r="E73" s="1" t="s">
        <v>501</v>
      </c>
      <c r="F73" s="1">
        <v>0.746</v>
      </c>
      <c r="G73" s="1">
        <v>-0.25</v>
      </c>
      <c r="H73" s="1">
        <v>14.404</v>
      </c>
      <c r="I73" s="1">
        <v>5.5620000000000003</v>
      </c>
      <c r="J73" s="1">
        <v>1.2E-2</v>
      </c>
      <c r="K73" s="1">
        <v>-0.873</v>
      </c>
      <c r="L73" s="3">
        <v>-0.25895200000000002</v>
      </c>
      <c r="M73" s="1">
        <v>0.59499999999999997</v>
      </c>
      <c r="N73" s="1">
        <v>0.67600000000000005</v>
      </c>
      <c r="O73" s="1"/>
      <c r="P73" s="1">
        <v>-0.54900000000000004</v>
      </c>
      <c r="Q73" s="1">
        <v>1.0999999999999999E-2</v>
      </c>
      <c r="R73" s="1">
        <v>-1.6E-2</v>
      </c>
      <c r="S73" s="1">
        <v>0.65200000000000002</v>
      </c>
      <c r="T73" s="4">
        <f t="shared" si="1"/>
        <v>0.74</v>
      </c>
    </row>
    <row r="74" spans="1:20" x14ac:dyDescent="0.2">
      <c r="A74" s="1" t="s">
        <v>102</v>
      </c>
      <c r="B74" s="1" t="s">
        <v>498</v>
      </c>
      <c r="C74" s="1">
        <v>901</v>
      </c>
      <c r="D74" s="1" t="s">
        <v>503</v>
      </c>
      <c r="E74" s="1" t="s">
        <v>504</v>
      </c>
      <c r="F74" s="1">
        <v>1.587</v>
      </c>
      <c r="G74" s="1">
        <v>-0.24</v>
      </c>
      <c r="H74" s="1">
        <v>15.541</v>
      </c>
      <c r="I74" s="1">
        <v>6.0259999999999998</v>
      </c>
      <c r="J74" s="1">
        <v>1.2E-2</v>
      </c>
      <c r="K74" s="1">
        <v>-0.873</v>
      </c>
      <c r="L74" s="3">
        <v>-0.259044</v>
      </c>
      <c r="M74" s="1">
        <v>0.59499999999999997</v>
      </c>
      <c r="N74" s="1">
        <v>0.67600000000000005</v>
      </c>
      <c r="O74" s="1"/>
      <c r="P74" s="1">
        <v>-0.51300000000000001</v>
      </c>
      <c r="Q74" s="1">
        <v>1.0999999999999999E-2</v>
      </c>
      <c r="R74" s="1">
        <v>-1.6E-2</v>
      </c>
      <c r="S74" s="1">
        <v>0.65200000000000002</v>
      </c>
      <c r="T74" s="4">
        <f t="shared" si="1"/>
        <v>0.74</v>
      </c>
    </row>
    <row r="75" spans="1:20" x14ac:dyDescent="0.2">
      <c r="A75" s="1" t="s">
        <v>102</v>
      </c>
      <c r="B75" s="1" t="s">
        <v>498</v>
      </c>
      <c r="C75" s="1">
        <v>902</v>
      </c>
      <c r="D75" s="1" t="s">
        <v>505</v>
      </c>
      <c r="E75" s="1" t="s">
        <v>495</v>
      </c>
      <c r="F75" s="1">
        <v>1.851</v>
      </c>
      <c r="G75" s="1">
        <v>-0.25</v>
      </c>
      <c r="H75" s="1">
        <v>15.545</v>
      </c>
      <c r="I75" s="1">
        <v>6.0819999999999999</v>
      </c>
      <c r="J75" s="1">
        <v>1.2E-2</v>
      </c>
      <c r="K75" s="1">
        <v>-0.873</v>
      </c>
      <c r="L75" s="3">
        <v>-0.27221200000000001</v>
      </c>
      <c r="M75" s="1">
        <v>0.58199999999999996</v>
      </c>
      <c r="N75" s="1">
        <v>0.66300000000000003</v>
      </c>
      <c r="O75" s="1"/>
      <c r="P75" s="1">
        <v>-0.46200000000000002</v>
      </c>
      <c r="Q75" s="1">
        <v>1.0999999999999999E-2</v>
      </c>
      <c r="R75" s="1">
        <v>-1.6E-2</v>
      </c>
      <c r="S75" s="1">
        <v>0.63800000000000001</v>
      </c>
      <c r="T75" s="4">
        <f t="shared" si="1"/>
        <v>0.72599999999999998</v>
      </c>
    </row>
    <row r="76" spans="1:20" x14ac:dyDescent="0.2">
      <c r="A76" s="1" t="s">
        <v>102</v>
      </c>
      <c r="B76" s="1" t="s">
        <v>506</v>
      </c>
      <c r="C76" s="1">
        <v>904</v>
      </c>
      <c r="D76" s="1" t="s">
        <v>508</v>
      </c>
      <c r="E76" s="1" t="s">
        <v>501</v>
      </c>
      <c r="F76" s="1">
        <v>0.76900000000000002</v>
      </c>
      <c r="G76" s="1">
        <v>-0.23100000000000001</v>
      </c>
      <c r="H76" s="1">
        <v>14.771000000000001</v>
      </c>
      <c r="I76" s="1">
        <v>5.9169999999999998</v>
      </c>
      <c r="J76" s="1">
        <v>1.2E-2</v>
      </c>
      <c r="K76" s="1">
        <v>-0.873</v>
      </c>
      <c r="L76" s="3">
        <v>-0.240228</v>
      </c>
      <c r="M76" s="1">
        <v>0.61299999999999999</v>
      </c>
      <c r="N76" s="1">
        <v>0.69399999999999995</v>
      </c>
      <c r="O76" s="1"/>
      <c r="P76" s="1">
        <v>-0.35</v>
      </c>
      <c r="Q76" s="1">
        <v>1.0999999999999999E-2</v>
      </c>
      <c r="R76" s="1">
        <v>-1.6E-2</v>
      </c>
      <c r="S76" s="1">
        <v>0.67100000000000004</v>
      </c>
      <c r="T76" s="4">
        <f t="shared" si="1"/>
        <v>0.75900000000000001</v>
      </c>
    </row>
    <row r="77" spans="1:20" x14ac:dyDescent="0.2">
      <c r="A77" s="1" t="s">
        <v>102</v>
      </c>
      <c r="B77" s="1" t="s">
        <v>506</v>
      </c>
      <c r="C77" s="1">
        <v>905</v>
      </c>
      <c r="D77" s="1" t="s">
        <v>509</v>
      </c>
      <c r="E77" s="1" t="s">
        <v>497</v>
      </c>
      <c r="F77" s="1">
        <v>1.8360000000000001</v>
      </c>
      <c r="G77" s="1">
        <v>-0.23300000000000001</v>
      </c>
      <c r="H77" s="1">
        <v>14.363</v>
      </c>
      <c r="I77" s="1">
        <v>5.64</v>
      </c>
      <c r="J77" s="1">
        <v>1.2E-2</v>
      </c>
      <c r="K77" s="1">
        <v>-0.873</v>
      </c>
      <c r="L77" s="3">
        <v>-0.25503200000000004</v>
      </c>
      <c r="M77" s="1">
        <v>0.59799999999999998</v>
      </c>
      <c r="N77" s="1">
        <v>0.67900000000000005</v>
      </c>
      <c r="O77" s="1"/>
      <c r="P77" s="1">
        <v>-0.48099999999999998</v>
      </c>
      <c r="Q77" s="1">
        <v>1.0999999999999999E-2</v>
      </c>
      <c r="R77" s="1">
        <v>-1.6E-2</v>
      </c>
      <c r="S77" s="1">
        <v>0.65600000000000003</v>
      </c>
      <c r="T77" s="4">
        <f t="shared" si="1"/>
        <v>0.74399999999999999</v>
      </c>
    </row>
    <row r="78" spans="1:20" x14ac:dyDescent="0.2">
      <c r="A78" s="1" t="s">
        <v>102</v>
      </c>
      <c r="B78" s="1" t="s">
        <v>506</v>
      </c>
      <c r="C78" s="1">
        <v>907</v>
      </c>
      <c r="D78" s="1" t="s">
        <v>511</v>
      </c>
      <c r="E78" s="1" t="s">
        <v>512</v>
      </c>
      <c r="F78" s="1">
        <v>1.5269999999999999</v>
      </c>
      <c r="G78" s="1">
        <v>-0.23</v>
      </c>
      <c r="H78" s="1">
        <v>15.491</v>
      </c>
      <c r="I78" s="1">
        <v>6.0519999999999996</v>
      </c>
      <c r="J78" s="1">
        <v>1.2E-2</v>
      </c>
      <c r="K78" s="1">
        <v>-0.873</v>
      </c>
      <c r="L78" s="3">
        <v>-0.24832400000000002</v>
      </c>
      <c r="M78" s="1">
        <v>0.60499999999999998</v>
      </c>
      <c r="N78" s="1">
        <v>0.68600000000000005</v>
      </c>
      <c r="O78" s="1"/>
      <c r="P78" s="1">
        <v>-0.49399999999999999</v>
      </c>
      <c r="Q78" s="1">
        <v>1.0999999999999999E-2</v>
      </c>
      <c r="R78" s="1">
        <v>-1.4999999999999999E-2</v>
      </c>
      <c r="S78" s="1">
        <v>0.66200000000000003</v>
      </c>
      <c r="T78" s="4">
        <f t="shared" si="1"/>
        <v>0.75</v>
      </c>
    </row>
    <row r="79" spans="1:20" x14ac:dyDescent="0.2">
      <c r="A79" s="1" t="s">
        <v>102</v>
      </c>
      <c r="B79" s="1" t="s">
        <v>506</v>
      </c>
      <c r="C79" s="1">
        <v>908</v>
      </c>
      <c r="D79" s="1" t="s">
        <v>513</v>
      </c>
      <c r="E79" s="1" t="s">
        <v>501</v>
      </c>
      <c r="F79" s="1">
        <v>0.73399999999999999</v>
      </c>
      <c r="G79" s="1">
        <v>-0.24299999999999999</v>
      </c>
      <c r="H79" s="1">
        <v>14.502000000000001</v>
      </c>
      <c r="I79" s="1">
        <v>5.6890000000000001</v>
      </c>
      <c r="J79" s="1">
        <v>1.2E-2</v>
      </c>
      <c r="K79" s="1">
        <v>-0.874</v>
      </c>
      <c r="L79" s="3">
        <v>-0.25180799999999998</v>
      </c>
      <c r="M79" s="1">
        <v>0.60199999999999998</v>
      </c>
      <c r="N79" s="1">
        <v>0.68300000000000005</v>
      </c>
      <c r="O79" s="1"/>
      <c r="P79" s="1">
        <v>-0.496</v>
      </c>
      <c r="Q79" s="1">
        <v>1.0999999999999999E-2</v>
      </c>
      <c r="R79" s="1">
        <v>-1.4999999999999999E-2</v>
      </c>
      <c r="S79" s="1">
        <v>0.65900000000000003</v>
      </c>
      <c r="T79" s="4">
        <f t="shared" si="1"/>
        <v>0.747</v>
      </c>
    </row>
    <row r="80" spans="1:20" x14ac:dyDescent="0.2">
      <c r="A80" s="1" t="s">
        <v>102</v>
      </c>
      <c r="B80" s="1" t="s">
        <v>515</v>
      </c>
      <c r="C80" s="1">
        <v>910</v>
      </c>
      <c r="D80" s="1" t="s">
        <v>516</v>
      </c>
      <c r="E80" s="1" t="s">
        <v>517</v>
      </c>
      <c r="F80" s="1">
        <v>2.4609999999999999</v>
      </c>
      <c r="G80" s="1">
        <v>-0.223</v>
      </c>
      <c r="H80" s="1">
        <v>16.096</v>
      </c>
      <c r="I80" s="1">
        <v>6.3380000000000001</v>
      </c>
      <c r="J80" s="1">
        <v>1.2E-2</v>
      </c>
      <c r="K80" s="1">
        <v>-0.874</v>
      </c>
      <c r="L80" s="3">
        <v>-0.25253199999999998</v>
      </c>
      <c r="M80" s="1">
        <v>0.60099999999999998</v>
      </c>
      <c r="N80" s="1">
        <v>0.68200000000000005</v>
      </c>
      <c r="O80" s="1"/>
      <c r="P80" s="1">
        <v>-0.443</v>
      </c>
      <c r="Q80" s="1">
        <v>1.0999999999999999E-2</v>
      </c>
      <c r="R80" s="1">
        <v>-1.4999999999999999E-2</v>
      </c>
      <c r="S80" s="1">
        <v>0.65800000000000003</v>
      </c>
      <c r="T80" s="4">
        <f t="shared" si="1"/>
        <v>0.746</v>
      </c>
    </row>
    <row r="81" spans="1:20" x14ac:dyDescent="0.2">
      <c r="A81" s="1" t="s">
        <v>102</v>
      </c>
      <c r="B81" s="1" t="s">
        <v>515</v>
      </c>
      <c r="C81" s="1">
        <v>911</v>
      </c>
      <c r="D81" s="1" t="s">
        <v>518</v>
      </c>
      <c r="E81" s="1" t="s">
        <v>519</v>
      </c>
      <c r="F81" s="1">
        <v>5.9160000000000004</v>
      </c>
      <c r="G81" s="1">
        <v>-0.16600000000000001</v>
      </c>
      <c r="H81" s="1">
        <v>15.808</v>
      </c>
      <c r="I81" s="1">
        <v>6.18</v>
      </c>
      <c r="J81" s="1">
        <v>1.2E-2</v>
      </c>
      <c r="K81" s="1">
        <v>-0.874</v>
      </c>
      <c r="L81" s="3">
        <v>-0.23699200000000001</v>
      </c>
      <c r="M81" s="1">
        <v>0.61499999999999999</v>
      </c>
      <c r="N81" s="1">
        <v>0.69599999999999995</v>
      </c>
      <c r="O81" s="1"/>
      <c r="P81" s="1">
        <v>-0.499</v>
      </c>
      <c r="Q81" s="1">
        <v>1.0999999999999999E-2</v>
      </c>
      <c r="R81" s="1">
        <v>-1.4999999999999999E-2</v>
      </c>
      <c r="S81" s="1">
        <v>0.67300000000000004</v>
      </c>
      <c r="T81" s="4">
        <f t="shared" si="1"/>
        <v>0.76100000000000001</v>
      </c>
    </row>
    <row r="82" spans="1:20" x14ac:dyDescent="0.2">
      <c r="A82" s="1" t="s">
        <v>102</v>
      </c>
      <c r="B82" s="1" t="s">
        <v>515</v>
      </c>
      <c r="C82" s="1">
        <v>913</v>
      </c>
      <c r="D82" s="1" t="s">
        <v>521</v>
      </c>
      <c r="E82" s="1" t="s">
        <v>522</v>
      </c>
      <c r="F82" s="1">
        <v>4.6529999999999996</v>
      </c>
      <c r="G82" s="1">
        <v>-0.20300000000000001</v>
      </c>
      <c r="H82" s="1">
        <v>15.324</v>
      </c>
      <c r="I82" s="1">
        <v>5.9589999999999996</v>
      </c>
      <c r="J82" s="1">
        <v>1.2E-2</v>
      </c>
      <c r="K82" s="1">
        <v>-0.874</v>
      </c>
      <c r="L82" s="3">
        <v>-0.25883600000000001</v>
      </c>
      <c r="M82" s="1">
        <v>0.59399999999999997</v>
      </c>
      <c r="N82" s="1">
        <v>0.67500000000000004</v>
      </c>
      <c r="O82" s="1"/>
      <c r="P82" s="1">
        <v>-0.55000000000000004</v>
      </c>
      <c r="Q82" s="1">
        <v>1.0999999999999999E-2</v>
      </c>
      <c r="R82" s="1">
        <v>-1.4999999999999999E-2</v>
      </c>
      <c r="S82" s="1">
        <v>0.65100000000000002</v>
      </c>
      <c r="T82" s="4">
        <f t="shared" si="1"/>
        <v>0.73899999999999999</v>
      </c>
    </row>
    <row r="83" spans="1:20" x14ac:dyDescent="0.2">
      <c r="A83" s="1" t="s">
        <v>102</v>
      </c>
      <c r="B83" s="1" t="s">
        <v>524</v>
      </c>
      <c r="C83" s="1">
        <v>915</v>
      </c>
      <c r="D83" s="1" t="s">
        <v>525</v>
      </c>
      <c r="E83" s="1" t="s">
        <v>526</v>
      </c>
      <c r="F83" s="1">
        <v>0.71399999999999997</v>
      </c>
      <c r="G83" s="1">
        <v>-0.24</v>
      </c>
      <c r="H83" s="1">
        <v>13.132999999999999</v>
      </c>
      <c r="I83" s="1">
        <v>5.2720000000000002</v>
      </c>
      <c r="J83" s="1">
        <v>1.2E-2</v>
      </c>
      <c r="K83" s="1">
        <v>-0.874</v>
      </c>
      <c r="L83" s="3">
        <v>-0.24856799999999998</v>
      </c>
      <c r="M83" s="1">
        <v>0.60499999999999998</v>
      </c>
      <c r="N83" s="1">
        <v>0.68600000000000005</v>
      </c>
      <c r="O83" s="1"/>
      <c r="P83" s="1">
        <v>-0.436</v>
      </c>
      <c r="Q83" s="1">
        <v>1.0999999999999999E-2</v>
      </c>
      <c r="R83" s="1">
        <v>-1.4999999999999999E-2</v>
      </c>
      <c r="S83" s="1">
        <v>0.66100000000000003</v>
      </c>
      <c r="T83" s="4">
        <f t="shared" si="1"/>
        <v>0.749</v>
      </c>
    </row>
    <row r="84" spans="1:20" x14ac:dyDescent="0.2">
      <c r="A84" s="1" t="s">
        <v>102</v>
      </c>
      <c r="B84" s="1" t="s">
        <v>524</v>
      </c>
      <c r="C84" s="1">
        <v>916</v>
      </c>
      <c r="D84" s="1" t="s">
        <v>527</v>
      </c>
      <c r="E84" s="1" t="s">
        <v>519</v>
      </c>
      <c r="F84" s="1">
        <v>5.8970000000000002</v>
      </c>
      <c r="G84" s="1">
        <v>-0.188</v>
      </c>
      <c r="H84" s="1">
        <v>15.535</v>
      </c>
      <c r="I84" s="1">
        <v>6.09</v>
      </c>
      <c r="J84" s="1">
        <v>1.2E-2</v>
      </c>
      <c r="K84" s="1">
        <v>-0.874</v>
      </c>
      <c r="L84" s="3">
        <v>-0.25876399999999999</v>
      </c>
      <c r="M84" s="1">
        <v>0.59399999999999997</v>
      </c>
      <c r="N84" s="1">
        <v>0.67500000000000004</v>
      </c>
      <c r="O84" s="1"/>
      <c r="P84" s="1">
        <v>-0.50900000000000001</v>
      </c>
      <c r="Q84" s="1">
        <v>1.0999999999999999E-2</v>
      </c>
      <c r="R84" s="1">
        <v>-1.4E-2</v>
      </c>
      <c r="S84" s="1">
        <v>0.65</v>
      </c>
      <c r="T84" s="4">
        <f t="shared" si="1"/>
        <v>0.73799999999999999</v>
      </c>
    </row>
    <row r="85" spans="1:20" x14ac:dyDescent="0.2">
      <c r="A85" s="1" t="s">
        <v>102</v>
      </c>
      <c r="B85" s="1" t="s">
        <v>524</v>
      </c>
      <c r="C85" s="1">
        <v>917</v>
      </c>
      <c r="D85" s="1" t="s">
        <v>528</v>
      </c>
      <c r="E85" s="1" t="s">
        <v>529</v>
      </c>
      <c r="F85" s="1">
        <v>-0.159</v>
      </c>
      <c r="G85" s="1">
        <v>-0.27100000000000002</v>
      </c>
      <c r="H85" s="1">
        <v>13.118</v>
      </c>
      <c r="I85" s="1">
        <v>5.2770000000000001</v>
      </c>
      <c r="J85" s="1">
        <v>1.2E-2</v>
      </c>
      <c r="K85" s="1">
        <v>-0.874</v>
      </c>
      <c r="L85" s="3">
        <v>-0.269092</v>
      </c>
      <c r="M85" s="1">
        <v>0.58499999999999996</v>
      </c>
      <c r="N85" s="1">
        <v>0.66600000000000004</v>
      </c>
      <c r="O85" s="1"/>
      <c r="P85" s="1">
        <v>-0.433</v>
      </c>
      <c r="Q85" s="1">
        <v>1.0999999999999999E-2</v>
      </c>
      <c r="R85" s="1">
        <v>-1.4E-2</v>
      </c>
      <c r="S85" s="1">
        <v>0.64100000000000001</v>
      </c>
      <c r="T85" s="4">
        <f t="shared" si="1"/>
        <v>0.72899999999999998</v>
      </c>
    </row>
    <row r="86" spans="1:20" x14ac:dyDescent="0.2">
      <c r="A86" s="1" t="s">
        <v>102</v>
      </c>
      <c r="B86" s="1" t="s">
        <v>524</v>
      </c>
      <c r="C86" s="1">
        <v>920</v>
      </c>
      <c r="D86" s="1" t="s">
        <v>533</v>
      </c>
      <c r="E86" s="1" t="s">
        <v>522</v>
      </c>
      <c r="F86" s="1">
        <v>4.6520000000000001</v>
      </c>
      <c r="G86" s="1">
        <v>-0.193</v>
      </c>
      <c r="H86" s="1">
        <v>15.593999999999999</v>
      </c>
      <c r="I86" s="1">
        <v>6.1740000000000004</v>
      </c>
      <c r="J86" s="1">
        <v>1.2E-2</v>
      </c>
      <c r="K86" s="1">
        <v>-0.874</v>
      </c>
      <c r="L86" s="3">
        <v>-0.24882400000000002</v>
      </c>
      <c r="M86" s="1">
        <v>0.60399999999999998</v>
      </c>
      <c r="N86" s="1">
        <v>0.68500000000000005</v>
      </c>
      <c r="O86" s="1"/>
      <c r="P86" s="1">
        <v>-0.46200000000000002</v>
      </c>
      <c r="Q86" s="1">
        <v>1.0999999999999999E-2</v>
      </c>
      <c r="R86" s="1">
        <v>-1.4E-2</v>
      </c>
      <c r="S86" s="1">
        <v>0.66</v>
      </c>
      <c r="T86" s="4">
        <f t="shared" si="1"/>
        <v>0.748</v>
      </c>
    </row>
    <row r="87" spans="1:20" x14ac:dyDescent="0.2">
      <c r="A87" s="1" t="s">
        <v>102</v>
      </c>
      <c r="B87" s="1" t="s">
        <v>534</v>
      </c>
      <c r="C87" s="1">
        <v>921</v>
      </c>
      <c r="D87" s="1" t="s">
        <v>535</v>
      </c>
      <c r="E87" s="1" t="s">
        <v>517</v>
      </c>
      <c r="F87" s="1">
        <v>2.4460000000000002</v>
      </c>
      <c r="G87" s="1">
        <v>-0.24199999999999999</v>
      </c>
      <c r="H87" s="1">
        <v>16.119</v>
      </c>
      <c r="I87" s="1">
        <v>6.38</v>
      </c>
      <c r="J87" s="1">
        <v>1.2E-2</v>
      </c>
      <c r="K87" s="1">
        <v>-0.874</v>
      </c>
      <c r="L87" s="3">
        <v>-0.27135199999999998</v>
      </c>
      <c r="M87" s="1">
        <v>0.58199999999999996</v>
      </c>
      <c r="N87" s="1">
        <v>0.66300000000000003</v>
      </c>
      <c r="O87" s="1"/>
      <c r="P87" s="1">
        <v>-0.45400000000000001</v>
      </c>
      <c r="Q87" s="1">
        <v>1.0999999999999999E-2</v>
      </c>
      <c r="R87" s="1">
        <v>-1.4E-2</v>
      </c>
      <c r="S87" s="1">
        <v>0.63700000000000001</v>
      </c>
      <c r="T87" s="4">
        <f t="shared" si="1"/>
        <v>0.72499999999999998</v>
      </c>
    </row>
    <row r="88" spans="1:20" x14ac:dyDescent="0.2">
      <c r="A88" s="1" t="s">
        <v>102</v>
      </c>
      <c r="B88" s="1" t="s">
        <v>534</v>
      </c>
      <c r="C88" s="1">
        <v>922</v>
      </c>
      <c r="D88" s="1" t="s">
        <v>536</v>
      </c>
      <c r="E88" s="1" t="s">
        <v>526</v>
      </c>
      <c r="F88" s="1">
        <v>0.77200000000000002</v>
      </c>
      <c r="G88" s="1">
        <v>-0.23899999999999999</v>
      </c>
      <c r="H88" s="1">
        <v>13.398</v>
      </c>
      <c r="I88" s="1">
        <v>5.4409999999999998</v>
      </c>
      <c r="J88" s="1">
        <v>1.2E-2</v>
      </c>
      <c r="K88" s="1">
        <v>-0.874</v>
      </c>
      <c r="L88" s="3">
        <v>-0.24826399999999998</v>
      </c>
      <c r="M88" s="1">
        <v>0.60499999999999998</v>
      </c>
      <c r="N88" s="1">
        <v>0.68600000000000005</v>
      </c>
      <c r="O88" s="1"/>
      <c r="P88" s="1">
        <v>-0.39200000000000002</v>
      </c>
      <c r="Q88" s="1">
        <v>1.0999999999999999E-2</v>
      </c>
      <c r="R88" s="1">
        <v>-1.4E-2</v>
      </c>
      <c r="S88" s="1">
        <v>0.66100000000000003</v>
      </c>
      <c r="T88" s="4">
        <f t="shared" si="1"/>
        <v>0.749</v>
      </c>
    </row>
    <row r="89" spans="1:20" x14ac:dyDescent="0.2">
      <c r="A89" s="1" t="s">
        <v>102</v>
      </c>
      <c r="B89" s="1" t="s">
        <v>534</v>
      </c>
      <c r="C89" s="1">
        <v>923</v>
      </c>
      <c r="D89" s="1" t="s">
        <v>537</v>
      </c>
      <c r="E89" s="1" t="s">
        <v>526</v>
      </c>
      <c r="F89" s="1">
        <v>0.72299999999999998</v>
      </c>
      <c r="G89" s="1">
        <v>-0.26400000000000001</v>
      </c>
      <c r="H89" s="1">
        <v>13.218999999999999</v>
      </c>
      <c r="I89" s="1">
        <v>5.3109999999999999</v>
      </c>
      <c r="J89" s="1">
        <v>1.2E-2</v>
      </c>
      <c r="K89" s="1">
        <v>-0.874</v>
      </c>
      <c r="L89" s="3">
        <v>-0.27267600000000003</v>
      </c>
      <c r="M89" s="1">
        <v>0.58199999999999996</v>
      </c>
      <c r="N89" s="1">
        <v>0.66300000000000003</v>
      </c>
      <c r="O89" s="1"/>
      <c r="P89" s="1">
        <v>-0.46</v>
      </c>
      <c r="Q89" s="1">
        <v>1.0999999999999999E-2</v>
      </c>
      <c r="R89" s="1">
        <v>-1.4E-2</v>
      </c>
      <c r="S89" s="1">
        <v>0.63600000000000001</v>
      </c>
      <c r="T89" s="4">
        <f t="shared" si="1"/>
        <v>0.72399999999999998</v>
      </c>
    </row>
    <row r="90" spans="1:20" x14ac:dyDescent="0.2">
      <c r="A90" s="1" t="s">
        <v>102</v>
      </c>
      <c r="B90" s="1" t="s">
        <v>534</v>
      </c>
      <c r="C90" s="1">
        <v>924</v>
      </c>
      <c r="D90" s="1" t="s">
        <v>538</v>
      </c>
      <c r="E90" s="1" t="s">
        <v>522</v>
      </c>
      <c r="F90" s="1">
        <v>4.6239999999999997</v>
      </c>
      <c r="G90" s="1">
        <v>-0.21199999999999999</v>
      </c>
      <c r="H90" s="1">
        <v>15.388999999999999</v>
      </c>
      <c r="I90" s="1">
        <v>6.0289999999999999</v>
      </c>
      <c r="J90" s="1">
        <v>1.2E-2</v>
      </c>
      <c r="K90" s="1">
        <v>-0.874</v>
      </c>
      <c r="L90" s="3">
        <v>-0.267488</v>
      </c>
      <c r="M90" s="1">
        <v>0.58499999999999996</v>
      </c>
      <c r="N90" s="1">
        <v>0.66600000000000004</v>
      </c>
      <c r="O90" s="1"/>
      <c r="P90" s="1">
        <v>-0.54700000000000004</v>
      </c>
      <c r="Q90" s="1">
        <v>1.0999999999999999E-2</v>
      </c>
      <c r="R90" s="1">
        <v>-1.4E-2</v>
      </c>
      <c r="S90" s="1">
        <v>0.64</v>
      </c>
      <c r="T90" s="4">
        <f t="shared" si="1"/>
        <v>0.72799999999999998</v>
      </c>
    </row>
    <row r="91" spans="1:20" x14ac:dyDescent="0.2">
      <c r="A91" s="1" t="s">
        <v>102</v>
      </c>
      <c r="B91" s="1" t="s">
        <v>664</v>
      </c>
      <c r="C91" s="1">
        <v>928</v>
      </c>
      <c r="D91" s="1" t="s">
        <v>539</v>
      </c>
      <c r="E91" s="1" t="s">
        <v>517</v>
      </c>
      <c r="F91" s="1">
        <v>2.411</v>
      </c>
      <c r="G91" s="1">
        <v>-0.22700000000000001</v>
      </c>
      <c r="H91" s="1">
        <v>16.096</v>
      </c>
      <c r="I91" s="1">
        <v>6.4189999999999996</v>
      </c>
      <c r="J91" s="1">
        <v>1.2E-2</v>
      </c>
      <c r="K91" s="1">
        <v>-0.875</v>
      </c>
      <c r="L91" s="3">
        <v>-0.25700000000000001</v>
      </c>
      <c r="M91" s="1"/>
      <c r="N91" s="1">
        <v>0.67800000000000005</v>
      </c>
      <c r="O91" s="1"/>
      <c r="P91" s="1">
        <v>-0.433</v>
      </c>
      <c r="Q91" s="1">
        <v>1.2E-2</v>
      </c>
      <c r="R91" s="1">
        <v>-1.2999999999999999E-2</v>
      </c>
      <c r="S91" s="1">
        <v>0.65200000000000002</v>
      </c>
      <c r="T91" s="4">
        <f t="shared" si="1"/>
        <v>0.74</v>
      </c>
    </row>
    <row r="92" spans="1:20" x14ac:dyDescent="0.2">
      <c r="A92" s="1" t="s">
        <v>102</v>
      </c>
      <c r="B92" s="1" t="s">
        <v>664</v>
      </c>
      <c r="C92" s="1">
        <v>930</v>
      </c>
      <c r="D92" s="1" t="s">
        <v>541</v>
      </c>
      <c r="E92" s="1" t="s">
        <v>529</v>
      </c>
      <c r="F92" s="1">
        <v>-0.23400000000000001</v>
      </c>
      <c r="G92" s="1">
        <v>-0.26700000000000002</v>
      </c>
      <c r="H92" s="1">
        <v>12.75</v>
      </c>
      <c r="I92" s="1">
        <v>5.0010000000000003</v>
      </c>
      <c r="J92" s="1">
        <v>1.2E-2</v>
      </c>
      <c r="K92" s="1">
        <v>-0.875</v>
      </c>
      <c r="L92" s="3">
        <v>-0.26400000000000001</v>
      </c>
      <c r="M92" s="1"/>
      <c r="N92" s="1">
        <v>0.67100000000000004</v>
      </c>
      <c r="O92" s="1"/>
      <c r="P92" s="1">
        <v>-0.623</v>
      </c>
      <c r="Q92" s="1">
        <v>1.2E-2</v>
      </c>
      <c r="R92" s="1">
        <v>-1.2999999999999999E-2</v>
      </c>
      <c r="S92" s="1">
        <v>0.64500000000000002</v>
      </c>
      <c r="T92" s="4">
        <f t="shared" si="1"/>
        <v>0.73299999999999998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42DB8-0424-AF48-B74A-EE574A4BACE2}">
  <dimension ref="A1:J92"/>
  <sheetViews>
    <sheetView tabSelected="1" workbookViewId="0">
      <selection activeCell="I4" sqref="I4"/>
    </sheetView>
  </sheetViews>
  <sheetFormatPr baseColWidth="10" defaultRowHeight="16" x14ac:dyDescent="0.2"/>
  <cols>
    <col min="1" max="1" width="20.83203125" style="4" customWidth="1"/>
    <col min="2" max="2" width="10.83203125" style="4"/>
    <col min="4" max="4" width="21.5" customWidth="1"/>
  </cols>
  <sheetData>
    <row r="1" spans="1:10" x14ac:dyDescent="0.2">
      <c r="A1" s="4" t="s">
        <v>1</v>
      </c>
      <c r="B1" s="4" t="s">
        <v>626</v>
      </c>
      <c r="D1" t="s">
        <v>1</v>
      </c>
      <c r="E1" t="s">
        <v>683</v>
      </c>
      <c r="F1" t="s">
        <v>684</v>
      </c>
      <c r="G1" t="s">
        <v>685</v>
      </c>
      <c r="H1" t="s">
        <v>686</v>
      </c>
      <c r="I1" t="s">
        <v>687</v>
      </c>
      <c r="J1" t="s">
        <v>688</v>
      </c>
    </row>
    <row r="2" spans="1:10" x14ac:dyDescent="0.2">
      <c r="A2" s="4" t="s">
        <v>70</v>
      </c>
      <c r="B2" s="4">
        <v>0.74099999999999999</v>
      </c>
      <c r="D2" t="s">
        <v>70</v>
      </c>
      <c r="E2">
        <v>3</v>
      </c>
      <c r="F2">
        <v>0.73999999999999988</v>
      </c>
      <c r="G2">
        <v>2.151743479135497E-2</v>
      </c>
      <c r="H2">
        <f>G2/SQRT(E2)</f>
        <v>1.2423096769059011E-2</v>
      </c>
      <c r="I2">
        <f>SQRT(38800/(F2-0.262))-273.15</f>
        <v>11.756209334150583</v>
      </c>
      <c r="J2">
        <f>SQRT(38800/((F2-H2)-0.262))-273.15-I2</f>
        <v>3.7760856032193146</v>
      </c>
    </row>
    <row r="3" spans="1:10" x14ac:dyDescent="0.2">
      <c r="A3" s="4" t="s">
        <v>72</v>
      </c>
      <c r="B3" s="4">
        <v>0.74299999999999999</v>
      </c>
      <c r="D3" t="s">
        <v>72</v>
      </c>
      <c r="E3">
        <v>2</v>
      </c>
      <c r="F3">
        <v>0.751</v>
      </c>
      <c r="G3">
        <v>1.1313708498990417E-2</v>
      </c>
      <c r="H3">
        <f t="shared" ref="H3:H30" si="0">G3/SQRT(E3)</f>
        <v>8.0000000000039987E-3</v>
      </c>
      <c r="I3">
        <f t="shared" ref="I3:I30" si="1">SQRT(38800/(F3-0.262))-273.15</f>
        <v>8.5335161524075716</v>
      </c>
      <c r="J3">
        <f t="shared" ref="J3:J30" si="2">SQRT(38800/((F3-H3)-0.262))-273.15-I3</f>
        <v>2.3328225770418385</v>
      </c>
    </row>
    <row r="4" spans="1:10" x14ac:dyDescent="0.2">
      <c r="A4" s="4" t="s">
        <v>682</v>
      </c>
      <c r="B4" s="4">
        <v>0.74299999999999999</v>
      </c>
      <c r="D4" t="s">
        <v>682</v>
      </c>
      <c r="E4">
        <v>3</v>
      </c>
      <c r="F4">
        <v>0.74833333333333341</v>
      </c>
      <c r="G4">
        <v>1.7616280348964175E-2</v>
      </c>
      <c r="H4">
        <f t="shared" si="0"/>
        <v>1.0170764201594382E-2</v>
      </c>
      <c r="I4">
        <f t="shared" si="1"/>
        <v>9.3047250320666421</v>
      </c>
      <c r="J4">
        <f t="shared" si="2"/>
        <v>3.0006574725691735</v>
      </c>
    </row>
    <row r="5" spans="1:10" x14ac:dyDescent="0.2">
      <c r="A5" s="4" t="s">
        <v>682</v>
      </c>
      <c r="B5" s="4">
        <v>0.73399999999999999</v>
      </c>
      <c r="D5" t="s">
        <v>89</v>
      </c>
      <c r="E5">
        <v>3</v>
      </c>
      <c r="F5">
        <v>0.73699999999999999</v>
      </c>
      <c r="G5">
        <v>1.2000000000010627E-2</v>
      </c>
      <c r="H5">
        <f t="shared" si="0"/>
        <v>6.9282032302816453E-3</v>
      </c>
      <c r="I5">
        <f t="shared" si="1"/>
        <v>12.654497036550822</v>
      </c>
      <c r="J5">
        <f t="shared" si="2"/>
        <v>2.1074097898995774</v>
      </c>
    </row>
    <row r="6" spans="1:10" x14ac:dyDescent="0.2">
      <c r="A6" s="4" t="s">
        <v>70</v>
      </c>
      <c r="B6" s="4">
        <v>0.76100000000000001</v>
      </c>
      <c r="D6" t="s">
        <v>91</v>
      </c>
      <c r="E6">
        <v>3</v>
      </c>
      <c r="F6">
        <v>0.7413333333333334</v>
      </c>
      <c r="G6">
        <v>9.0184995056297804E-3</v>
      </c>
      <c r="H6">
        <f t="shared" si="0"/>
        <v>5.2068331172618609E-3</v>
      </c>
      <c r="I6">
        <f t="shared" si="1"/>
        <v>11.359679971030801</v>
      </c>
      <c r="J6">
        <f t="shared" si="2"/>
        <v>1.5579697128517864</v>
      </c>
    </row>
    <row r="7" spans="1:10" x14ac:dyDescent="0.2">
      <c r="A7" s="4" t="s">
        <v>682</v>
      </c>
      <c r="B7" s="4">
        <v>0.76800000000000002</v>
      </c>
      <c r="D7" t="s">
        <v>105</v>
      </c>
      <c r="E7">
        <v>4</v>
      </c>
      <c r="F7">
        <v>0.74649999999999994</v>
      </c>
      <c r="G7">
        <v>2.2128413107738238E-2</v>
      </c>
      <c r="H7">
        <f t="shared" si="0"/>
        <v>1.1064206553869119E-2</v>
      </c>
      <c r="I7">
        <f t="shared" si="1"/>
        <v>9.8386205124250523</v>
      </c>
      <c r="J7">
        <f t="shared" si="2"/>
        <v>3.2876285747748852</v>
      </c>
    </row>
    <row r="8" spans="1:10" x14ac:dyDescent="0.2">
      <c r="A8" s="4" t="s">
        <v>70</v>
      </c>
      <c r="B8" s="4">
        <v>0.71799999999999997</v>
      </c>
      <c r="D8" t="s">
        <v>109</v>
      </c>
      <c r="E8">
        <v>3</v>
      </c>
      <c r="F8">
        <v>0.72966666666666669</v>
      </c>
      <c r="G8">
        <v>1.9655363983739054E-2</v>
      </c>
      <c r="H8">
        <f t="shared" si="0"/>
        <v>1.1348029687031819E-2</v>
      </c>
      <c r="I8">
        <f t="shared" si="1"/>
        <v>14.886585939406984</v>
      </c>
      <c r="J8">
        <f t="shared" si="2"/>
        <v>3.5595465264339055</v>
      </c>
    </row>
    <row r="9" spans="1:10" x14ac:dyDescent="0.2">
      <c r="A9" s="4" t="s">
        <v>72</v>
      </c>
      <c r="B9" s="4">
        <v>0.75900000000000001</v>
      </c>
      <c r="D9" t="s">
        <v>114</v>
      </c>
      <c r="E9">
        <v>2</v>
      </c>
      <c r="F9">
        <v>0.74399999999999999</v>
      </c>
      <c r="G9">
        <v>2.6870057685090879E-2</v>
      </c>
      <c r="H9">
        <f t="shared" si="0"/>
        <v>1.9000000000001464E-2</v>
      </c>
      <c r="I9">
        <f t="shared" si="1"/>
        <v>10.571563000071137</v>
      </c>
      <c r="J9">
        <f t="shared" si="2"/>
        <v>5.7629718136707879</v>
      </c>
    </row>
    <row r="10" spans="1:10" x14ac:dyDescent="0.2">
      <c r="A10" s="4" t="s">
        <v>89</v>
      </c>
      <c r="B10" s="4">
        <v>0.73699999999999999</v>
      </c>
      <c r="D10" t="s">
        <v>123</v>
      </c>
      <c r="E10">
        <v>3</v>
      </c>
      <c r="F10">
        <v>0.73966666666666658</v>
      </c>
      <c r="G10">
        <v>1.7616280348967325E-2</v>
      </c>
      <c r="H10">
        <f t="shared" si="0"/>
        <v>1.01707642015962E-2</v>
      </c>
      <c r="I10">
        <f t="shared" si="1"/>
        <v>11.855601002736307</v>
      </c>
      <c r="J10">
        <f t="shared" si="2"/>
        <v>3.0835863034034787</v>
      </c>
    </row>
    <row r="11" spans="1:10" x14ac:dyDescent="0.2">
      <c r="A11" s="4" t="s">
        <v>91</v>
      </c>
      <c r="B11" s="4">
        <v>0.75</v>
      </c>
      <c r="D11" t="s">
        <v>125</v>
      </c>
      <c r="E11">
        <v>3</v>
      </c>
      <c r="F11">
        <v>0.7416666666666667</v>
      </c>
      <c r="G11">
        <v>1.040832999732209E-2</v>
      </c>
      <c r="H11">
        <f t="shared" si="0"/>
        <v>6.0092521257683659E-3</v>
      </c>
      <c r="I11">
        <f t="shared" si="1"/>
        <v>11.26080605667363</v>
      </c>
      <c r="J11">
        <f t="shared" si="2"/>
        <v>1.7984618360259219</v>
      </c>
    </row>
    <row r="12" spans="1:10" x14ac:dyDescent="0.2">
      <c r="A12" s="4" t="s">
        <v>89</v>
      </c>
      <c r="B12" s="4">
        <v>0.72499999999999998</v>
      </c>
      <c r="D12" t="s">
        <v>133</v>
      </c>
      <c r="E12">
        <v>3</v>
      </c>
      <c r="F12">
        <v>0.75633333333333341</v>
      </c>
      <c r="G12">
        <v>1.1590225767143081E-2</v>
      </c>
      <c r="H12">
        <f t="shared" si="0"/>
        <v>6.6916199666285951E-3</v>
      </c>
      <c r="I12">
        <f t="shared" si="1"/>
        <v>7.0098618879613923</v>
      </c>
      <c r="J12">
        <f t="shared" si="2"/>
        <v>1.9156848112046987</v>
      </c>
    </row>
    <row r="13" spans="1:10" x14ac:dyDescent="0.2">
      <c r="A13" s="4" t="s">
        <v>91</v>
      </c>
      <c r="B13" s="4">
        <v>0.74199999999999999</v>
      </c>
      <c r="D13" t="s">
        <v>232</v>
      </c>
      <c r="E13">
        <v>5</v>
      </c>
      <c r="F13">
        <v>0.74519999999999997</v>
      </c>
      <c r="G13">
        <v>1.173456432937028E-2</v>
      </c>
      <c r="H13">
        <f t="shared" si="0"/>
        <v>5.2478567053632352E-3</v>
      </c>
      <c r="I13">
        <f t="shared" si="1"/>
        <v>10.219040731398763</v>
      </c>
      <c r="J13">
        <f t="shared" si="2"/>
        <v>1.5514318835208769</v>
      </c>
    </row>
    <row r="14" spans="1:10" x14ac:dyDescent="0.2">
      <c r="A14" s="4" t="s">
        <v>89</v>
      </c>
      <c r="B14" s="4">
        <v>0.749</v>
      </c>
      <c r="D14" t="s">
        <v>234</v>
      </c>
      <c r="E14">
        <v>3</v>
      </c>
      <c r="F14">
        <v>0.746</v>
      </c>
      <c r="G14">
        <v>1.2489995996794153E-2</v>
      </c>
      <c r="H14">
        <f t="shared" si="0"/>
        <v>7.2111025509264525E-3</v>
      </c>
      <c r="I14">
        <f t="shared" si="1"/>
        <v>9.9847545890443143</v>
      </c>
      <c r="J14">
        <f t="shared" si="2"/>
        <v>2.1330736909462189</v>
      </c>
    </row>
    <row r="15" spans="1:10" x14ac:dyDescent="0.2">
      <c r="A15" s="4" t="s">
        <v>91</v>
      </c>
      <c r="B15" s="4">
        <v>0.73199999999999998</v>
      </c>
      <c r="D15" t="s">
        <v>286</v>
      </c>
      <c r="E15">
        <v>3</v>
      </c>
      <c r="F15">
        <v>0.754</v>
      </c>
      <c r="G15">
        <v>7.2111025509238869E-3</v>
      </c>
      <c r="H15">
        <f t="shared" si="0"/>
        <v>4.1633319989299034E-3</v>
      </c>
      <c r="I15">
        <f t="shared" si="1"/>
        <v>7.6734118051523978</v>
      </c>
      <c r="J15">
        <f t="shared" si="2"/>
        <v>1.1957662014823995</v>
      </c>
    </row>
    <row r="16" spans="1:10" x14ac:dyDescent="0.2">
      <c r="A16" s="4" t="s">
        <v>105</v>
      </c>
      <c r="B16" s="4">
        <v>0.73699999999999999</v>
      </c>
      <c r="D16" t="s">
        <v>291</v>
      </c>
      <c r="E16">
        <v>5</v>
      </c>
      <c r="F16">
        <v>0.75420000000000009</v>
      </c>
      <c r="G16">
        <v>1.1691877522446024E-2</v>
      </c>
      <c r="H16">
        <f t="shared" si="0"/>
        <v>5.2287665849582261E-3</v>
      </c>
      <c r="I16">
        <f t="shared" si="1"/>
        <v>7.6163512718385391</v>
      </c>
      <c r="J16">
        <f t="shared" si="2"/>
        <v>1.5033146399293855</v>
      </c>
    </row>
    <row r="17" spans="1:10" x14ac:dyDescent="0.2">
      <c r="A17" s="4" t="s">
        <v>109</v>
      </c>
      <c r="B17" s="4">
        <v>0.70699999999999996</v>
      </c>
      <c r="D17" t="s">
        <v>373</v>
      </c>
      <c r="E17">
        <v>3</v>
      </c>
      <c r="F17">
        <v>0.71733333333333327</v>
      </c>
      <c r="G17">
        <v>9.0737717258876117E-3</v>
      </c>
      <c r="H17">
        <f t="shared" si="0"/>
        <v>5.2387445485064278E-3</v>
      </c>
      <c r="I17">
        <f t="shared" si="1"/>
        <v>18.76145692193046</v>
      </c>
      <c r="J17">
        <f t="shared" si="2"/>
        <v>1.6938944473726565</v>
      </c>
    </row>
    <row r="18" spans="1:10" x14ac:dyDescent="0.2">
      <c r="A18" s="4" t="s">
        <v>114</v>
      </c>
      <c r="B18" s="4">
        <v>0.76300000000000001</v>
      </c>
      <c r="D18" t="s">
        <v>375</v>
      </c>
      <c r="E18">
        <v>3</v>
      </c>
      <c r="F18">
        <v>0.71200000000000008</v>
      </c>
      <c r="G18">
        <v>1.3114877048597861E-2</v>
      </c>
      <c r="H18">
        <f t="shared" si="0"/>
        <v>7.5718777943968203E-3</v>
      </c>
      <c r="I18">
        <f t="shared" si="1"/>
        <v>20.486207273936543</v>
      </c>
      <c r="J18">
        <f t="shared" si="2"/>
        <v>2.5020392969799445</v>
      </c>
    </row>
    <row r="19" spans="1:10" x14ac:dyDescent="0.2">
      <c r="A19" s="4" t="s">
        <v>109</v>
      </c>
      <c r="B19" s="4">
        <v>0.74199999999999999</v>
      </c>
      <c r="D19" t="s">
        <v>377</v>
      </c>
      <c r="E19">
        <v>3</v>
      </c>
      <c r="F19">
        <v>0.71033333333333326</v>
      </c>
      <c r="G19">
        <v>2.3094010767997198E-3</v>
      </c>
      <c r="H19">
        <f t="shared" si="0"/>
        <v>1.3333333333571298E-3</v>
      </c>
      <c r="I19">
        <f t="shared" si="1"/>
        <v>21.031493179581332</v>
      </c>
      <c r="J19">
        <f t="shared" si="2"/>
        <v>0.43842273682577115</v>
      </c>
    </row>
    <row r="20" spans="1:10" x14ac:dyDescent="0.2">
      <c r="A20" s="4" t="s">
        <v>114</v>
      </c>
      <c r="B20" s="4">
        <v>0.72499999999999998</v>
      </c>
      <c r="D20" t="s">
        <v>381</v>
      </c>
      <c r="E20">
        <v>3</v>
      </c>
      <c r="F20">
        <v>0.71899999999999997</v>
      </c>
      <c r="G20">
        <v>1.4730919862657007E-2</v>
      </c>
      <c r="H20">
        <f t="shared" si="0"/>
        <v>8.504900548115828E-3</v>
      </c>
      <c r="I20">
        <f t="shared" si="1"/>
        <v>18.228674114399155</v>
      </c>
      <c r="J20">
        <f t="shared" si="2"/>
        <v>2.749760636813221</v>
      </c>
    </row>
    <row r="21" spans="1:10" x14ac:dyDescent="0.2">
      <c r="A21" s="4" t="s">
        <v>105</v>
      </c>
      <c r="B21" s="4">
        <v>0.72699999999999998</v>
      </c>
      <c r="D21" t="s">
        <v>383</v>
      </c>
      <c r="E21">
        <v>3</v>
      </c>
      <c r="F21">
        <v>0.71099999999999997</v>
      </c>
      <c r="G21">
        <v>1.835755975068366E-2</v>
      </c>
      <c r="H21">
        <f t="shared" si="0"/>
        <v>1.059874206372185E-2</v>
      </c>
      <c r="I21">
        <f t="shared" si="1"/>
        <v>20.813014506162233</v>
      </c>
      <c r="J21">
        <f t="shared" si="2"/>
        <v>3.5321882873375898</v>
      </c>
    </row>
    <row r="22" spans="1:10" x14ac:dyDescent="0.2">
      <c r="A22" s="4" t="s">
        <v>123</v>
      </c>
      <c r="B22" s="4">
        <v>0.745</v>
      </c>
      <c r="D22" t="s">
        <v>448</v>
      </c>
      <c r="E22">
        <v>3</v>
      </c>
      <c r="F22">
        <v>0.73</v>
      </c>
      <c r="G22">
        <v>6.2449979983904098E-3</v>
      </c>
      <c r="H22">
        <f t="shared" si="0"/>
        <v>3.6055512754593773E-3</v>
      </c>
      <c r="I22">
        <f t="shared" si="1"/>
        <v>14.783990535995827</v>
      </c>
      <c r="J22">
        <f t="shared" si="2"/>
        <v>1.1155963302073815</v>
      </c>
    </row>
    <row r="23" spans="1:10" x14ac:dyDescent="0.2">
      <c r="A23" s="4" t="s">
        <v>125</v>
      </c>
      <c r="B23" s="4">
        <v>0.745</v>
      </c>
      <c r="D23" t="s">
        <v>450</v>
      </c>
      <c r="E23">
        <v>3</v>
      </c>
      <c r="F23">
        <v>0.72466666666666668</v>
      </c>
      <c r="G23">
        <v>7.5055534994645737E-3</v>
      </c>
      <c r="H23">
        <f t="shared" si="0"/>
        <v>4.3333333333330096E-3</v>
      </c>
      <c r="I23">
        <f t="shared" si="1"/>
        <v>16.438797210355915</v>
      </c>
      <c r="J23">
        <f t="shared" si="2"/>
        <v>1.3657446936078372</v>
      </c>
    </row>
    <row r="24" spans="1:10" x14ac:dyDescent="0.2">
      <c r="A24" s="4" t="s">
        <v>123</v>
      </c>
      <c r="B24" s="4">
        <v>0.72</v>
      </c>
      <c r="D24" t="s">
        <v>461</v>
      </c>
      <c r="E24">
        <v>3</v>
      </c>
      <c r="F24">
        <v>0.72699999999999998</v>
      </c>
      <c r="G24">
        <v>1.3076696830614763E-2</v>
      </c>
      <c r="H24">
        <f t="shared" si="0"/>
        <v>7.5498344352665598E-3</v>
      </c>
      <c r="I24">
        <f t="shared" si="1"/>
        <v>15.711316577789262</v>
      </c>
      <c r="J24">
        <f t="shared" si="2"/>
        <v>2.3739529199813205</v>
      </c>
    </row>
    <row r="25" spans="1:10" x14ac:dyDescent="0.2">
      <c r="A25" s="4" t="s">
        <v>125</v>
      </c>
      <c r="B25" s="4">
        <v>0.73</v>
      </c>
      <c r="D25" t="s">
        <v>466</v>
      </c>
      <c r="E25">
        <v>3</v>
      </c>
      <c r="F25">
        <v>0.72033333333333338</v>
      </c>
      <c r="G25">
        <v>8.0829037686496463E-3</v>
      </c>
      <c r="H25">
        <f t="shared" si="0"/>
        <v>4.6666666666637146E-3</v>
      </c>
      <c r="I25">
        <f t="shared" si="1"/>
        <v>17.804541903963866</v>
      </c>
      <c r="J25">
        <f t="shared" si="2"/>
        <v>1.4926311172191049</v>
      </c>
    </row>
    <row r="26" spans="1:10" x14ac:dyDescent="0.2">
      <c r="A26" s="4" t="s">
        <v>133</v>
      </c>
      <c r="B26" s="4">
        <v>0.74299999999999999</v>
      </c>
      <c r="D26" t="s">
        <v>501</v>
      </c>
      <c r="E26">
        <v>3</v>
      </c>
      <c r="F26">
        <v>0.7486666666666667</v>
      </c>
      <c r="G26">
        <v>9.6090235369344842E-3</v>
      </c>
      <c r="H26">
        <f t="shared" si="0"/>
        <v>5.5477723256985743E-3</v>
      </c>
      <c r="I26">
        <f t="shared" si="1"/>
        <v>9.2079773926358826</v>
      </c>
      <c r="J26">
        <f t="shared" si="2"/>
        <v>1.6232660388936324</v>
      </c>
    </row>
    <row r="27" spans="1:10" x14ac:dyDescent="0.2">
      <c r="A27" s="4" t="s">
        <v>133</v>
      </c>
      <c r="B27" s="4">
        <v>0.76200000000000001</v>
      </c>
      <c r="D27" t="s">
        <v>517</v>
      </c>
      <c r="E27">
        <v>3</v>
      </c>
      <c r="F27">
        <v>0.7370000000000001</v>
      </c>
      <c r="G27">
        <v>1.0816653826383263E-2</v>
      </c>
      <c r="H27">
        <f t="shared" si="0"/>
        <v>6.2449979983933727E-3</v>
      </c>
      <c r="I27">
        <f t="shared" si="1"/>
        <v>12.654497036550822</v>
      </c>
      <c r="J27">
        <f t="shared" si="2"/>
        <v>1.897519073439355</v>
      </c>
    </row>
    <row r="28" spans="1:10" x14ac:dyDescent="0.2">
      <c r="A28" s="4" t="s">
        <v>125</v>
      </c>
      <c r="B28" s="4">
        <v>0.75</v>
      </c>
      <c r="D28" t="s">
        <v>522</v>
      </c>
      <c r="E28">
        <v>3</v>
      </c>
      <c r="F28">
        <v>0.73833333333333329</v>
      </c>
      <c r="G28">
        <v>1.0016652800879589E-2</v>
      </c>
      <c r="H28">
        <f t="shared" si="0"/>
        <v>5.7831171909668499E-3</v>
      </c>
      <c r="I28">
        <f t="shared" si="1"/>
        <v>12.254210429700436</v>
      </c>
      <c r="J28">
        <f t="shared" si="2"/>
        <v>1.7484697444752442</v>
      </c>
    </row>
    <row r="29" spans="1:10" x14ac:dyDescent="0.2">
      <c r="A29" s="4" t="s">
        <v>133</v>
      </c>
      <c r="B29" s="4">
        <v>0.76400000000000001</v>
      </c>
      <c r="D29" t="s">
        <v>526</v>
      </c>
      <c r="E29">
        <v>3</v>
      </c>
      <c r="F29">
        <v>0.7406666666666667</v>
      </c>
      <c r="G29">
        <v>1.4433756729737927E-2</v>
      </c>
      <c r="H29">
        <f t="shared" si="0"/>
        <v>8.333333333331765E-3</v>
      </c>
      <c r="I29">
        <f t="shared" si="1"/>
        <v>11.557737551558375</v>
      </c>
      <c r="J29">
        <f t="shared" si="2"/>
        <v>2.5111417388462201</v>
      </c>
    </row>
    <row r="30" spans="1:10" x14ac:dyDescent="0.2">
      <c r="A30" s="4" t="s">
        <v>123</v>
      </c>
      <c r="B30" s="4">
        <v>0.754</v>
      </c>
      <c r="D30" t="s">
        <v>529</v>
      </c>
      <c r="E30">
        <v>2</v>
      </c>
      <c r="F30">
        <v>0.73099999999999998</v>
      </c>
      <c r="G30">
        <v>2.8284271247476043E-3</v>
      </c>
      <c r="H30">
        <f t="shared" si="0"/>
        <v>2.0000000000009997E-3</v>
      </c>
      <c r="I30">
        <f t="shared" si="1"/>
        <v>14.476860858682755</v>
      </c>
      <c r="J30">
        <f t="shared" si="2"/>
        <v>0.61524532516767749</v>
      </c>
    </row>
    <row r="31" spans="1:10" x14ac:dyDescent="0.2">
      <c r="A31" s="4" t="s">
        <v>232</v>
      </c>
      <c r="B31" s="4">
        <v>0.74299999999999999</v>
      </c>
    </row>
    <row r="32" spans="1:10" x14ac:dyDescent="0.2">
      <c r="A32" s="4" t="s">
        <v>234</v>
      </c>
      <c r="B32" s="4">
        <v>0.75</v>
      </c>
    </row>
    <row r="33" spans="1:2" x14ac:dyDescent="0.2">
      <c r="A33" s="4" t="s">
        <v>232</v>
      </c>
      <c r="B33" s="4">
        <v>0.749</v>
      </c>
    </row>
    <row r="34" spans="1:2" x14ac:dyDescent="0.2">
      <c r="A34" s="4" t="s">
        <v>234</v>
      </c>
      <c r="B34" s="4">
        <v>0.73199999999999998</v>
      </c>
    </row>
    <row r="35" spans="1:2" x14ac:dyDescent="0.2">
      <c r="A35" s="4" t="s">
        <v>232</v>
      </c>
      <c r="B35" s="4">
        <v>0.752</v>
      </c>
    </row>
    <row r="36" spans="1:2" x14ac:dyDescent="0.2">
      <c r="A36" s="4" t="s">
        <v>234</v>
      </c>
      <c r="B36" s="4">
        <v>0.75600000000000001</v>
      </c>
    </row>
    <row r="37" spans="1:2" x14ac:dyDescent="0.2">
      <c r="A37" s="4" t="s">
        <v>286</v>
      </c>
      <c r="B37" s="4">
        <v>0.75600000000000001</v>
      </c>
    </row>
    <row r="38" spans="1:2" x14ac:dyDescent="0.2">
      <c r="A38" s="4" t="s">
        <v>291</v>
      </c>
      <c r="B38" s="4">
        <v>0.753</v>
      </c>
    </row>
    <row r="39" spans="1:2" x14ac:dyDescent="0.2">
      <c r="A39" s="4" t="s">
        <v>286</v>
      </c>
      <c r="B39" s="4">
        <v>0.76</v>
      </c>
    </row>
    <row r="40" spans="1:2" x14ac:dyDescent="0.2">
      <c r="A40" s="4" t="s">
        <v>291</v>
      </c>
      <c r="B40" s="4">
        <v>0.76900000000000002</v>
      </c>
    </row>
    <row r="41" spans="1:2" x14ac:dyDescent="0.2">
      <c r="A41" s="4" t="s">
        <v>300</v>
      </c>
      <c r="B41" s="4">
        <v>0.7</v>
      </c>
    </row>
    <row r="42" spans="1:2" x14ac:dyDescent="0.2">
      <c r="A42" s="4" t="s">
        <v>291</v>
      </c>
      <c r="B42" s="4">
        <v>0.75</v>
      </c>
    </row>
    <row r="43" spans="1:2" x14ac:dyDescent="0.2">
      <c r="A43" s="4" t="s">
        <v>286</v>
      </c>
      <c r="B43" s="4">
        <v>0.746</v>
      </c>
    </row>
    <row r="44" spans="1:2" x14ac:dyDescent="0.2">
      <c r="A44" s="4" t="s">
        <v>373</v>
      </c>
      <c r="B44" s="4">
        <v>0.72099999999999997</v>
      </c>
    </row>
    <row r="45" spans="1:2" x14ac:dyDescent="0.2">
      <c r="A45" s="4" t="s">
        <v>375</v>
      </c>
      <c r="B45" s="4">
        <v>0.7</v>
      </c>
    </row>
    <row r="46" spans="1:2" x14ac:dyDescent="0.2">
      <c r="A46" s="4" t="s">
        <v>377</v>
      </c>
      <c r="B46" s="4">
        <v>0.71299999999999997</v>
      </c>
    </row>
    <row r="47" spans="1:2" x14ac:dyDescent="0.2">
      <c r="A47" s="4" t="s">
        <v>381</v>
      </c>
      <c r="B47" s="4">
        <v>0.70299999999999996</v>
      </c>
    </row>
    <row r="48" spans="1:2" x14ac:dyDescent="0.2">
      <c r="A48" s="4" t="s">
        <v>383</v>
      </c>
      <c r="B48" s="4">
        <v>0.70299999999999996</v>
      </c>
    </row>
    <row r="49" spans="1:2" x14ac:dyDescent="0.2">
      <c r="A49" s="4" t="s">
        <v>373</v>
      </c>
      <c r="B49" s="4">
        <v>0.72399999999999998</v>
      </c>
    </row>
    <row r="50" spans="1:2" x14ac:dyDescent="0.2">
      <c r="A50" s="4" t="s">
        <v>377</v>
      </c>
      <c r="B50" s="4">
        <v>0.70899999999999996</v>
      </c>
    </row>
    <row r="51" spans="1:2" x14ac:dyDescent="0.2">
      <c r="A51" s="4" t="s">
        <v>381</v>
      </c>
      <c r="B51" s="4">
        <v>0.72199999999999998</v>
      </c>
    </row>
    <row r="52" spans="1:2" x14ac:dyDescent="0.2">
      <c r="A52" s="4" t="s">
        <v>383</v>
      </c>
      <c r="B52" s="4">
        <v>0.69799999999999995</v>
      </c>
    </row>
    <row r="53" spans="1:2" x14ac:dyDescent="0.2">
      <c r="A53" s="4" t="s">
        <v>375</v>
      </c>
      <c r="B53" s="4">
        <v>0.72599999999999998</v>
      </c>
    </row>
    <row r="54" spans="1:2" x14ac:dyDescent="0.2">
      <c r="A54" s="4" t="s">
        <v>383</v>
      </c>
      <c r="B54" s="4">
        <v>0.73199999999999998</v>
      </c>
    </row>
    <row r="55" spans="1:2" x14ac:dyDescent="0.2">
      <c r="A55" s="4" t="s">
        <v>381</v>
      </c>
      <c r="B55" s="4">
        <v>0.73199999999999998</v>
      </c>
    </row>
    <row r="56" spans="1:2" x14ac:dyDescent="0.2">
      <c r="A56" s="4" t="s">
        <v>377</v>
      </c>
      <c r="B56" s="4">
        <v>0.70899999999999996</v>
      </c>
    </row>
    <row r="57" spans="1:2" x14ac:dyDescent="0.2">
      <c r="A57" s="4" t="s">
        <v>375</v>
      </c>
      <c r="B57" s="4">
        <v>0.71</v>
      </c>
    </row>
    <row r="58" spans="1:2" x14ac:dyDescent="0.2">
      <c r="A58" s="4" t="s">
        <v>373</v>
      </c>
      <c r="B58" s="4">
        <v>0.70699999999999996</v>
      </c>
    </row>
    <row r="59" spans="1:2" x14ac:dyDescent="0.2">
      <c r="A59" s="4" t="s">
        <v>448</v>
      </c>
      <c r="B59" s="4">
        <v>0.73199999999999998</v>
      </c>
    </row>
    <row r="60" spans="1:2" x14ac:dyDescent="0.2">
      <c r="A60" s="4" t="s">
        <v>450</v>
      </c>
      <c r="B60" s="4">
        <v>0.71599999999999997</v>
      </c>
    </row>
    <row r="61" spans="1:2" x14ac:dyDescent="0.2">
      <c r="A61" s="4" t="s">
        <v>448</v>
      </c>
      <c r="B61" s="4">
        <v>0.72299999999999998</v>
      </c>
    </row>
    <row r="62" spans="1:2" x14ac:dyDescent="0.2">
      <c r="A62" s="4" t="s">
        <v>448</v>
      </c>
      <c r="B62" s="4">
        <v>0.73499999999999999</v>
      </c>
    </row>
    <row r="63" spans="1:2" x14ac:dyDescent="0.2">
      <c r="A63" s="4" t="s">
        <v>450</v>
      </c>
      <c r="B63" s="4">
        <v>0.72899999999999998</v>
      </c>
    </row>
    <row r="64" spans="1:2" x14ac:dyDescent="0.2">
      <c r="A64" s="4" t="s">
        <v>450</v>
      </c>
      <c r="B64" s="4">
        <v>0.72899999999999998</v>
      </c>
    </row>
    <row r="65" spans="1:2" x14ac:dyDescent="0.2">
      <c r="A65" s="4" t="s">
        <v>461</v>
      </c>
      <c r="B65" s="4">
        <v>0.73299999999999998</v>
      </c>
    </row>
    <row r="66" spans="1:2" x14ac:dyDescent="0.2">
      <c r="A66" s="4" t="s">
        <v>461</v>
      </c>
      <c r="B66" s="4">
        <v>0.73599999999999999</v>
      </c>
    </row>
    <row r="67" spans="1:2" x14ac:dyDescent="0.2">
      <c r="A67" s="4" t="s">
        <v>466</v>
      </c>
      <c r="B67" s="4">
        <v>0.71299999999999997</v>
      </c>
    </row>
    <row r="68" spans="1:2" x14ac:dyDescent="0.2">
      <c r="A68" s="4" t="s">
        <v>461</v>
      </c>
      <c r="B68" s="4">
        <v>0.71199999999999997</v>
      </c>
    </row>
    <row r="69" spans="1:2" x14ac:dyDescent="0.2">
      <c r="A69" s="4" t="s">
        <v>466</v>
      </c>
      <c r="B69" s="4">
        <v>0.72899999999999998</v>
      </c>
    </row>
    <row r="70" spans="1:2" x14ac:dyDescent="0.2">
      <c r="A70" s="4" t="s">
        <v>466</v>
      </c>
      <c r="B70" s="4">
        <v>0.71899999999999997</v>
      </c>
    </row>
    <row r="71" spans="1:2" x14ac:dyDescent="0.2">
      <c r="A71" s="4" t="s">
        <v>232</v>
      </c>
      <c r="B71" s="4">
        <v>0.75600000000000001</v>
      </c>
    </row>
    <row r="72" spans="1:2" x14ac:dyDescent="0.2">
      <c r="A72" s="4" t="s">
        <v>105</v>
      </c>
      <c r="B72" s="4">
        <v>0.77799999999999991</v>
      </c>
    </row>
    <row r="73" spans="1:2" x14ac:dyDescent="0.2">
      <c r="A73" s="4" t="s">
        <v>501</v>
      </c>
      <c r="B73" s="4">
        <v>0.74</v>
      </c>
    </row>
    <row r="74" spans="1:2" x14ac:dyDescent="0.2">
      <c r="A74" s="4" t="s">
        <v>109</v>
      </c>
      <c r="B74" s="4">
        <v>0.74</v>
      </c>
    </row>
    <row r="75" spans="1:2" x14ac:dyDescent="0.2">
      <c r="A75" s="4" t="s">
        <v>232</v>
      </c>
      <c r="B75" s="4">
        <v>0.72599999999999998</v>
      </c>
    </row>
    <row r="76" spans="1:2" x14ac:dyDescent="0.2">
      <c r="A76" s="4" t="s">
        <v>501</v>
      </c>
      <c r="B76" s="4">
        <v>0.75900000000000001</v>
      </c>
    </row>
    <row r="77" spans="1:2" x14ac:dyDescent="0.2">
      <c r="A77" s="4" t="s">
        <v>105</v>
      </c>
      <c r="B77" s="4">
        <v>0.74399999999999999</v>
      </c>
    </row>
    <row r="78" spans="1:2" x14ac:dyDescent="0.2">
      <c r="A78" s="4" t="s">
        <v>681</v>
      </c>
      <c r="B78" s="4">
        <v>0.75</v>
      </c>
    </row>
    <row r="79" spans="1:2" x14ac:dyDescent="0.2">
      <c r="A79" s="4" t="s">
        <v>501</v>
      </c>
      <c r="B79" s="4">
        <v>0.747</v>
      </c>
    </row>
    <row r="80" spans="1:2" x14ac:dyDescent="0.2">
      <c r="A80" s="4" t="s">
        <v>517</v>
      </c>
      <c r="B80" s="4">
        <v>0.746</v>
      </c>
    </row>
    <row r="81" spans="1:2" x14ac:dyDescent="0.2">
      <c r="A81" s="4" t="s">
        <v>291</v>
      </c>
      <c r="B81" s="4">
        <v>0.76100000000000001</v>
      </c>
    </row>
    <row r="82" spans="1:2" x14ac:dyDescent="0.2">
      <c r="A82" s="4" t="s">
        <v>522</v>
      </c>
      <c r="B82" s="4">
        <v>0.73899999999999999</v>
      </c>
    </row>
    <row r="83" spans="1:2" x14ac:dyDescent="0.2">
      <c r="A83" s="4" t="s">
        <v>526</v>
      </c>
      <c r="B83" s="4">
        <v>0.749</v>
      </c>
    </row>
    <row r="84" spans="1:2" x14ac:dyDescent="0.2">
      <c r="A84" s="4" t="s">
        <v>291</v>
      </c>
      <c r="B84" s="4">
        <v>0.73799999999999999</v>
      </c>
    </row>
    <row r="85" spans="1:2" x14ac:dyDescent="0.2">
      <c r="A85" s="4" t="s">
        <v>529</v>
      </c>
      <c r="B85" s="4">
        <v>0.72899999999999998</v>
      </c>
    </row>
    <row r="86" spans="1:2" x14ac:dyDescent="0.2">
      <c r="A86" s="4" t="s">
        <v>522</v>
      </c>
      <c r="B86" s="4">
        <v>0.748</v>
      </c>
    </row>
    <row r="87" spans="1:2" x14ac:dyDescent="0.2">
      <c r="A87" s="4" t="s">
        <v>517</v>
      </c>
      <c r="B87" s="4">
        <v>0.72499999999999998</v>
      </c>
    </row>
    <row r="88" spans="1:2" x14ac:dyDescent="0.2">
      <c r="A88" s="4" t="s">
        <v>526</v>
      </c>
      <c r="B88" s="4">
        <v>0.749</v>
      </c>
    </row>
    <row r="89" spans="1:2" x14ac:dyDescent="0.2">
      <c r="A89" s="4" t="s">
        <v>526</v>
      </c>
      <c r="B89" s="4">
        <v>0.72399999999999998</v>
      </c>
    </row>
    <row r="90" spans="1:2" x14ac:dyDescent="0.2">
      <c r="A90" s="4" t="s">
        <v>522</v>
      </c>
      <c r="B90" s="4">
        <v>0.72799999999999998</v>
      </c>
    </row>
    <row r="91" spans="1:2" x14ac:dyDescent="0.2">
      <c r="A91" s="4" t="s">
        <v>517</v>
      </c>
      <c r="B91" s="4">
        <v>0.74</v>
      </c>
    </row>
    <row r="92" spans="1:2" x14ac:dyDescent="0.2">
      <c r="A92" s="4" t="s">
        <v>529</v>
      </c>
      <c r="B92" s="4">
        <v>0.73299999999999998</v>
      </c>
    </row>
  </sheetData>
  <dataConsolidate function="stdDev" leftLabels="1">
    <dataRefs count="1">
      <dataRef ref="A1:B1048576" sheet="consolidate"/>
    </dataRefs>
  </dataConsolid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Suarez_2011_D47</vt:lpstr>
      <vt:lpstr>suarez_data</vt:lpstr>
      <vt:lpstr>consolidate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 Jiawei</cp:lastModifiedBy>
  <dcterms:created xsi:type="dcterms:W3CDTF">2026-01-13T20:54:39Z</dcterms:created>
  <dcterms:modified xsi:type="dcterms:W3CDTF">2026-01-13T21:39:08Z</dcterms:modified>
</cp:coreProperties>
</file>